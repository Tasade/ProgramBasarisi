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BE115A-2B20-4BD4-AEB3-3F8F1DF6A7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ram başarı sırasına göre" sheetId="10" r:id="rId1"/>
  </sheets>
  <calcPr calcId="191029"/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8" i="10"/>
  <c r="H29" i="10"/>
  <c r="H30" i="10"/>
  <c r="H31" i="10"/>
  <c r="H32" i="10"/>
  <c r="H33" i="10"/>
  <c r="H34" i="10"/>
  <c r="H35" i="10"/>
  <c r="H37" i="10"/>
  <c r="H38" i="10"/>
  <c r="H39" i="10"/>
  <c r="H40" i="10"/>
  <c r="H41" i="10"/>
  <c r="H42" i="10"/>
  <c r="H43" i="10"/>
  <c r="H44" i="10"/>
  <c r="H45" i="10"/>
  <c r="H46" i="10"/>
  <c r="H47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6" i="10"/>
  <c r="H107" i="10"/>
  <c r="H108" i="10"/>
  <c r="H109" i="10"/>
  <c r="H110" i="10"/>
  <c r="H112" i="10"/>
  <c r="H113" i="10"/>
  <c r="H115" i="10"/>
  <c r="H116" i="10"/>
  <c r="H117" i="10"/>
  <c r="H118" i="10"/>
  <c r="H119" i="10"/>
  <c r="H120" i="10"/>
  <c r="H2" i="10"/>
  <c r="G120" i="10"/>
  <c r="F120" i="10"/>
  <c r="G119" i="10"/>
  <c r="F119" i="10"/>
  <c r="G118" i="10"/>
  <c r="F118" i="10"/>
  <c r="G117" i="10"/>
  <c r="F117" i="10"/>
  <c r="G116" i="10"/>
  <c r="F116" i="10"/>
  <c r="G115" i="10"/>
  <c r="F115" i="10"/>
  <c r="G113" i="10"/>
  <c r="F113" i="10"/>
  <c r="G112" i="10"/>
  <c r="F112" i="10"/>
  <c r="G110" i="10"/>
  <c r="F110" i="10"/>
  <c r="G109" i="10"/>
  <c r="F109" i="10"/>
  <c r="G108" i="10"/>
  <c r="F108" i="10"/>
  <c r="G107" i="10"/>
  <c r="F107" i="10"/>
  <c r="G106" i="10"/>
  <c r="F106" i="10"/>
  <c r="G104" i="10"/>
  <c r="F104" i="10"/>
  <c r="G103" i="10"/>
  <c r="F103" i="10"/>
  <c r="G102" i="10"/>
  <c r="F102" i="10"/>
  <c r="G101" i="10"/>
  <c r="F101" i="10"/>
  <c r="G100" i="10"/>
  <c r="F100" i="10"/>
  <c r="G99" i="10"/>
  <c r="F99" i="10"/>
  <c r="G98" i="10"/>
  <c r="F98" i="10"/>
  <c r="G97" i="10"/>
  <c r="F97" i="10"/>
  <c r="G96" i="10"/>
  <c r="F96" i="10"/>
  <c r="G95" i="10"/>
  <c r="F95" i="10"/>
  <c r="G94" i="10"/>
  <c r="F94" i="10"/>
  <c r="G93" i="10"/>
  <c r="F93" i="10"/>
  <c r="G92" i="10"/>
  <c r="F92" i="10"/>
  <c r="G91" i="10"/>
  <c r="F91" i="10"/>
  <c r="G90" i="10"/>
  <c r="F90" i="10"/>
  <c r="G89" i="10"/>
  <c r="F89" i="10"/>
  <c r="G88" i="10"/>
  <c r="F88" i="10"/>
  <c r="G87" i="10"/>
  <c r="F87" i="10"/>
  <c r="G86" i="10"/>
  <c r="F86" i="10"/>
  <c r="G85" i="10"/>
  <c r="F85" i="10"/>
  <c r="G84" i="10"/>
  <c r="F84" i="10"/>
  <c r="G83" i="10"/>
  <c r="F83" i="10"/>
  <c r="G82" i="10"/>
  <c r="F82" i="10"/>
  <c r="G81" i="10"/>
  <c r="F81" i="10"/>
  <c r="G80" i="10"/>
  <c r="F80" i="10"/>
  <c r="G79" i="10"/>
  <c r="F79" i="10"/>
  <c r="G78" i="10"/>
  <c r="F78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G7" i="10"/>
  <c r="F7" i="10"/>
  <c r="G6" i="10"/>
  <c r="F6" i="10"/>
  <c r="G5" i="10"/>
  <c r="F5" i="10"/>
  <c r="G4" i="10"/>
  <c r="F4" i="10"/>
  <c r="G3" i="10"/>
  <c r="F3" i="10"/>
  <c r="G2" i="10"/>
  <c r="F2" i="10"/>
</calcChain>
</file>

<file path=xl/sharedStrings.xml><?xml version="1.0" encoding="utf-8"?>
<sst xmlns="http://schemas.openxmlformats.org/spreadsheetml/2006/main" count="153" uniqueCount="130">
  <si>
    <t>Balıkesir Meslek Yüksekokulu</t>
  </si>
  <si>
    <t>İşletme Yönetimi</t>
  </si>
  <si>
    <t>2024</t>
  </si>
  <si>
    <t>Edremit Meslek Yüksekokulu</t>
  </si>
  <si>
    <t>Zeytincilik ve Zeytin İşleme Teknolojisi</t>
  </si>
  <si>
    <t>İlahiyat Fakültesi</t>
  </si>
  <si>
    <t>İlahiyat (M.T.O.K.) Hazırlık (%30 Arapça)</t>
  </si>
  <si>
    <t>Burhaniye Uygulamalı Bilimler Fakültesi</t>
  </si>
  <si>
    <t>Uluslararası Ticaret</t>
  </si>
  <si>
    <t>2023</t>
  </si>
  <si>
    <t>Bigadiç Meslek Yüksekokulu</t>
  </si>
  <si>
    <t>Ulaştırma ve Trafik Hizmetleri</t>
  </si>
  <si>
    <t>Kepsut Meslek Yüksekokulu</t>
  </si>
  <si>
    <t>Laborant ve Veteriner Sağlık</t>
  </si>
  <si>
    <t>Turizm ve Otel İşletmeciliği</t>
  </si>
  <si>
    <t>Dursunbey Meslek Yüksekokulu</t>
  </si>
  <si>
    <t>Kuyumculuk ve Takı Tasarımı</t>
  </si>
  <si>
    <t>Sındırgı Meslek Yüksekokulu</t>
  </si>
  <si>
    <t>2025</t>
  </si>
  <si>
    <t>İnşaat Teknolojisi</t>
  </si>
  <si>
    <t>Fen-Edebiyat Fakültesi</t>
  </si>
  <si>
    <t>Kimya</t>
  </si>
  <si>
    <t>Spor Bilimleri Fakültesi</t>
  </si>
  <si>
    <t>Altınoluk Meslek Yüksekokulu</t>
  </si>
  <si>
    <t>Tıbbi ve Aromatik Bitkiler</t>
  </si>
  <si>
    <t>Finans ve Bankacılık</t>
  </si>
  <si>
    <t>Madencilik Teknolojisi</t>
  </si>
  <si>
    <t>Bankacılık ve Sigortacılık</t>
  </si>
  <si>
    <t>Ayvalık Meslek Yüksekokulu</t>
  </si>
  <si>
    <t>Burhaniye Meslek Yüksekokulu</t>
  </si>
  <si>
    <t>Pazarlama</t>
  </si>
  <si>
    <t>Muhasebe ve Vergi Uygulamaları</t>
  </si>
  <si>
    <t>İş Sağlığı ve Güvenliği</t>
  </si>
  <si>
    <t>Havran Meslek Yüksekokulu</t>
  </si>
  <si>
    <t>Lojistik</t>
  </si>
  <si>
    <t>Ormancılık ve Orman Ürünleri</t>
  </si>
  <si>
    <t>Tarih</t>
  </si>
  <si>
    <t>Grafik Tasarımı</t>
  </si>
  <si>
    <t>Moleküler Biyoloji ve Genetik</t>
  </si>
  <si>
    <t>Mimari Restorasyon</t>
  </si>
  <si>
    <t>Sağlık Kurumları İşletmeciliği</t>
  </si>
  <si>
    <t>Turizm Fakültesi</t>
  </si>
  <si>
    <t>Gastronomi ve Mutfak Sanatları</t>
  </si>
  <si>
    <t>İklimlendirme ve Soğutma Teknolojisi</t>
  </si>
  <si>
    <t>Aşçılık</t>
  </si>
  <si>
    <t>Tekstil Teknolojisi</t>
  </si>
  <si>
    <t>Savaştepe Meslek Yüksekokulu</t>
  </si>
  <si>
    <t>Emlak Yönetimi</t>
  </si>
  <si>
    <t>Türk Dili ve Edebiyatı</t>
  </si>
  <si>
    <t>Makine</t>
  </si>
  <si>
    <t>Elektrik</t>
  </si>
  <si>
    <t>Dış Ticaret</t>
  </si>
  <si>
    <t>Rekreasyon Yönetimi</t>
  </si>
  <si>
    <t>Kontrol ve Otomasyon Teknolojisi</t>
  </si>
  <si>
    <t>Harita ve Kadastro</t>
  </si>
  <si>
    <t>Veteriner Fakültesi</t>
  </si>
  <si>
    <t>Veteriner</t>
  </si>
  <si>
    <t>Büro Yönetimi ve Yönetici Asistanlığı</t>
  </si>
  <si>
    <t>İktisadi ve İdari  Bilimler Fakültesi</t>
  </si>
  <si>
    <t>İşletme</t>
  </si>
  <si>
    <t>Kurumsal Bilişim Uzmanlığı</t>
  </si>
  <si>
    <t>Sağlık Bilimleri Fakültesi</t>
  </si>
  <si>
    <t>Hemşirelik</t>
  </si>
  <si>
    <t>Büro Yönetimi  ve Yönetici Asistanlığı</t>
  </si>
  <si>
    <t>Çocuk Gelişimi</t>
  </si>
  <si>
    <t>Özel Güvenlik ve Koruma</t>
  </si>
  <si>
    <t>Otomotiv Teknolojisi</t>
  </si>
  <si>
    <t>İvrindi Sağlık Hizmetleri Meslek Yüksekokulu</t>
  </si>
  <si>
    <t>Tıbbi Dokümantasyon ve Sekreterlik</t>
  </si>
  <si>
    <t>İlahiyat Hazırlık (%30 Arapça)</t>
  </si>
  <si>
    <t>Bilgisayar Programcılığı</t>
  </si>
  <si>
    <t>Maliye</t>
  </si>
  <si>
    <t>Coğrafya</t>
  </si>
  <si>
    <t>Mekatronik</t>
  </si>
  <si>
    <t>Elektronik Haberleşme Teknolojisi</t>
  </si>
  <si>
    <t>Spor Yöneticiliği</t>
  </si>
  <si>
    <t>Fizik</t>
  </si>
  <si>
    <t>Siyaset Bilimi ve Kamu Yönetimi</t>
  </si>
  <si>
    <t>Turizm Rehberliği</t>
  </si>
  <si>
    <t>Elektronik Teknolojisi</t>
  </si>
  <si>
    <t>Kimya Teknolojisi</t>
  </si>
  <si>
    <t>Necatibey Eğitim Fakültesi</t>
  </si>
  <si>
    <t>Sosyal Bilgiler Öğretmenliği</t>
  </si>
  <si>
    <t>İlk ve Acil Yardım</t>
  </si>
  <si>
    <t>Psikoloji</t>
  </si>
  <si>
    <t>Türkçe Öğretmenliği</t>
  </si>
  <si>
    <t>Ebelik</t>
  </si>
  <si>
    <t>İktisat</t>
  </si>
  <si>
    <t>Uluslararası Ticaret ve Lojistik</t>
  </si>
  <si>
    <t>Mimarlık Fakültesi</t>
  </si>
  <si>
    <t>Mimarlık</t>
  </si>
  <si>
    <t>Okul Öncesi Öğretmenliği</t>
  </si>
  <si>
    <t>Sosyoloji</t>
  </si>
  <si>
    <t>Sınıf Öğretmenliği</t>
  </si>
  <si>
    <t>Fizyoterapi</t>
  </si>
  <si>
    <t>Turizm İşletmeciliği</t>
  </si>
  <si>
    <t>Fen Bilgisi Öğretmenliği</t>
  </si>
  <si>
    <t>Türk Dili ve Edebiyatı Öğretmenliği</t>
  </si>
  <si>
    <t>Dijital Sağlık Sistemleri Teknikerliği</t>
  </si>
  <si>
    <t>Yeşil ve Ekolojik Bina Teknikerliği</t>
  </si>
  <si>
    <t>Mühendislik Fakültesi</t>
  </si>
  <si>
    <t>Makine Mühendisliği</t>
  </si>
  <si>
    <t>İngilizce Öğretmenliği</t>
  </si>
  <si>
    <t>Yapay Zeka Operatörlüğü</t>
  </si>
  <si>
    <t>İlköğretim Matematik Öğretmenliği</t>
  </si>
  <si>
    <t>Biyoloji Öğretmenliği</t>
  </si>
  <si>
    <t>Gerontoloji</t>
  </si>
  <si>
    <t>Edremit Sivil Havacılık Yüksekokulu</t>
  </si>
  <si>
    <t>Havacılık Yönetimi</t>
  </si>
  <si>
    <t>Fizyoterapi ve Rehabilitasyon</t>
  </si>
  <si>
    <t>İnşaat Mühendisliği</t>
  </si>
  <si>
    <t>Matematik</t>
  </si>
  <si>
    <t>Biyoloji</t>
  </si>
  <si>
    <t>Hukuk Fakültesi</t>
  </si>
  <si>
    <t>Hukuk</t>
  </si>
  <si>
    <t>Kimya Öğretmenliği</t>
  </si>
  <si>
    <t>Bilgisayar Mühendisliği</t>
  </si>
  <si>
    <t>Rehberlik ve Psikolojik Danışmanlık</t>
  </si>
  <si>
    <t>Elektrik-Elektronik Mühendisliği</t>
  </si>
  <si>
    <t>Matematik Öğretmenliği</t>
  </si>
  <si>
    <t>Gıda Mühendisliği</t>
  </si>
  <si>
    <t>Endüstri Mühendisliği</t>
  </si>
  <si>
    <t>Tıp Fakültesi</t>
  </si>
  <si>
    <t>Tıp</t>
  </si>
  <si>
    <t>Çevre Mühendisliği</t>
  </si>
  <si>
    <t>OKUL ADI</t>
  </si>
  <si>
    <t>PROGRAM ADI</t>
  </si>
  <si>
    <t>25/23</t>
  </si>
  <si>
    <t>25/24</t>
  </si>
  <si>
    <t>24/23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</si>
</sst>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sz val="8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indent="1"/>
    </xf>
    <xf numFmtId="3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indent="1"/>
    </xf>
    <xf numFmtId="3" fontId="0" fillId="4" borderId="1" xfId="0" applyNumberForma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F111-6FF6-41F8-9192-648C7D587D03}">
  <dimension ref="A1:H120"/>
  <sheetViews>
    <sheetView tabSelected="1" topLeftCell="A61" workbookViewId="0">
      <selection activeCell="D32" sqref="D32"/>
    </sheetView>
  </sheetViews>
  <sheetFormatPr defaultRowHeight="12.75" x14ac:dyDescent="0.2"/>
  <cols>
    <col min="1" max="1" width="26.5703125" style="2" bestFit="1" customWidth="1"/>
    <col min="2" max="2" width="42.7109375" bestFit="1" customWidth="1"/>
    <col min="6" max="6" width="16" customWidth="1"/>
    <col min="7" max="7" width="15.85546875" customWidth="1"/>
    <col min="8" max="8" width="10.85546875" customWidth="1"/>
  </cols>
  <sheetData>
    <row r="1" spans="1:8" x14ac:dyDescent="0.2">
      <c r="A1" s="7" t="s">
        <v>125</v>
      </c>
      <c r="B1" s="7" t="s">
        <v>126</v>
      </c>
      <c r="C1" s="8" t="s">
        <v>9</v>
      </c>
      <c r="D1" s="8" t="s">
        <v>2</v>
      </c>
      <c r="E1" s="8" t="s">
        <v>18</v>
      </c>
      <c r="F1" s="8" t="s">
        <v>127</v>
      </c>
      <c r="G1" s="8" t="s">
        <v>128</v>
      </c>
      <c r="H1" s="8" t="s">
        <v>129</v>
      </c>
    </row>
    <row r="2" spans="1:8" x14ac:dyDescent="0.2">
      <c r="A2" s="15" t="s">
        <v>23</v>
      </c>
      <c r="B2" s="4" t="s">
        <v>70</v>
      </c>
      <c r="C2" s="5">
        <v>655794</v>
      </c>
      <c r="D2" s="5">
        <v>693321</v>
      </c>
      <c r="E2" s="5">
        <v>663876</v>
      </c>
      <c r="F2" s="1">
        <f>C2-E2</f>
        <v>-8082</v>
      </c>
      <c r="G2" s="1">
        <f>D2-E2</f>
        <v>29445</v>
      </c>
      <c r="H2" s="1">
        <f>C2-D2</f>
        <v>-37527</v>
      </c>
    </row>
    <row r="3" spans="1:8" x14ac:dyDescent="0.2">
      <c r="A3" s="16"/>
      <c r="B3" s="4" t="s">
        <v>80</v>
      </c>
      <c r="C3" s="5">
        <v>1289709</v>
      </c>
      <c r="D3" s="5">
        <v>1156931</v>
      </c>
      <c r="E3" s="5">
        <v>845122</v>
      </c>
      <c r="F3" s="1">
        <f t="shared" ref="F3:F53" si="0">C3-E3</f>
        <v>444587</v>
      </c>
      <c r="G3" s="1">
        <f t="shared" ref="G3:G53" si="1">D3-E3</f>
        <v>311809</v>
      </c>
      <c r="H3" s="1">
        <f t="shared" ref="H3:H66" si="2">C3-D3</f>
        <v>132778</v>
      </c>
    </row>
    <row r="4" spans="1:8" x14ac:dyDescent="0.2">
      <c r="A4" s="16"/>
      <c r="B4" s="4" t="s">
        <v>24</v>
      </c>
      <c r="C4" s="5">
        <v>1616644</v>
      </c>
      <c r="D4" s="5">
        <v>1619951</v>
      </c>
      <c r="E4" s="5">
        <v>1497999</v>
      </c>
      <c r="F4" s="1">
        <f t="shared" si="0"/>
        <v>118645</v>
      </c>
      <c r="G4" s="1">
        <f t="shared" si="1"/>
        <v>121952</v>
      </c>
      <c r="H4" s="1">
        <f t="shared" si="2"/>
        <v>-3307</v>
      </c>
    </row>
    <row r="5" spans="1:8" x14ac:dyDescent="0.2">
      <c r="A5" s="13" t="s">
        <v>28</v>
      </c>
      <c r="B5" s="10" t="s">
        <v>1</v>
      </c>
      <c r="C5" s="11">
        <v>1587974</v>
      </c>
      <c r="D5" s="11">
        <v>1424017</v>
      </c>
      <c r="E5" s="11">
        <v>1118026</v>
      </c>
      <c r="F5" s="1">
        <f t="shared" si="0"/>
        <v>469948</v>
      </c>
      <c r="G5" s="1">
        <f t="shared" si="1"/>
        <v>305991</v>
      </c>
      <c r="H5" s="1">
        <f t="shared" si="2"/>
        <v>163957</v>
      </c>
    </row>
    <row r="6" spans="1:8" x14ac:dyDescent="0.2">
      <c r="A6" s="14"/>
      <c r="B6" s="10" t="s">
        <v>39</v>
      </c>
      <c r="C6" s="11">
        <v>1252467</v>
      </c>
      <c r="D6" s="11">
        <v>1153006</v>
      </c>
      <c r="E6" s="11">
        <v>985219</v>
      </c>
      <c r="F6" s="1">
        <f t="shared" si="0"/>
        <v>267248</v>
      </c>
      <c r="G6" s="1">
        <f t="shared" si="1"/>
        <v>167787</v>
      </c>
      <c r="H6" s="1">
        <f t="shared" si="2"/>
        <v>99461</v>
      </c>
    </row>
    <row r="7" spans="1:8" x14ac:dyDescent="0.2">
      <c r="A7" s="14"/>
      <c r="B7" s="10" t="s">
        <v>30</v>
      </c>
      <c r="C7" s="11">
        <v>1769591</v>
      </c>
      <c r="D7" s="11">
        <v>1626804</v>
      </c>
      <c r="E7" s="11">
        <v>1238653</v>
      </c>
      <c r="F7" s="1">
        <f t="shared" si="0"/>
        <v>530938</v>
      </c>
      <c r="G7" s="1">
        <f t="shared" si="1"/>
        <v>388151</v>
      </c>
      <c r="H7" s="1">
        <f t="shared" si="2"/>
        <v>142787</v>
      </c>
    </row>
    <row r="8" spans="1:8" x14ac:dyDescent="0.2">
      <c r="A8" s="14"/>
      <c r="B8" s="10" t="s">
        <v>14</v>
      </c>
      <c r="C8" s="11">
        <v>1413452</v>
      </c>
      <c r="D8" s="11">
        <v>1244188</v>
      </c>
      <c r="E8" s="11">
        <v>967731</v>
      </c>
      <c r="F8" s="1">
        <f t="shared" si="0"/>
        <v>445721</v>
      </c>
      <c r="G8" s="1">
        <f t="shared" si="1"/>
        <v>276457</v>
      </c>
      <c r="H8" s="1">
        <f t="shared" si="2"/>
        <v>169264</v>
      </c>
    </row>
    <row r="9" spans="1:8" x14ac:dyDescent="0.2">
      <c r="A9" s="15" t="s">
        <v>0</v>
      </c>
      <c r="B9" s="4" t="s">
        <v>70</v>
      </c>
      <c r="C9" s="5">
        <v>555605</v>
      </c>
      <c r="D9" s="5">
        <v>588297</v>
      </c>
      <c r="E9" s="5">
        <v>552942</v>
      </c>
      <c r="F9" s="1">
        <f t="shared" si="0"/>
        <v>2663</v>
      </c>
      <c r="G9" s="1">
        <f t="shared" si="1"/>
        <v>35355</v>
      </c>
      <c r="H9" s="1">
        <f t="shared" si="2"/>
        <v>-32692</v>
      </c>
    </row>
    <row r="10" spans="1:8" x14ac:dyDescent="0.2">
      <c r="A10" s="16"/>
      <c r="B10" s="4" t="s">
        <v>57</v>
      </c>
      <c r="C10" s="5">
        <v>1353613</v>
      </c>
      <c r="D10" s="5">
        <v>1107376</v>
      </c>
      <c r="E10" s="5">
        <v>844062</v>
      </c>
      <c r="F10" s="1">
        <f t="shared" si="0"/>
        <v>509551</v>
      </c>
      <c r="G10" s="1">
        <f t="shared" si="1"/>
        <v>263314</v>
      </c>
      <c r="H10" s="1">
        <f t="shared" si="2"/>
        <v>246237</v>
      </c>
    </row>
    <row r="11" spans="1:8" x14ac:dyDescent="0.2">
      <c r="A11" s="16"/>
      <c r="B11" s="4" t="s">
        <v>64</v>
      </c>
      <c r="C11" s="5">
        <v>887465</v>
      </c>
      <c r="D11" s="5">
        <v>817341</v>
      </c>
      <c r="E11" s="5">
        <v>653808</v>
      </c>
      <c r="F11" s="1">
        <f t="shared" si="0"/>
        <v>233657</v>
      </c>
      <c r="G11" s="1">
        <f t="shared" si="1"/>
        <v>163533</v>
      </c>
      <c r="H11" s="1">
        <f t="shared" si="2"/>
        <v>70124</v>
      </c>
    </row>
    <row r="12" spans="1:8" x14ac:dyDescent="0.2">
      <c r="A12" s="16"/>
      <c r="B12" s="4" t="s">
        <v>50</v>
      </c>
      <c r="C12" s="5">
        <v>1054118</v>
      </c>
      <c r="D12" s="5">
        <v>887271</v>
      </c>
      <c r="E12" s="5">
        <v>724901</v>
      </c>
      <c r="F12" s="1">
        <f t="shared" si="0"/>
        <v>329217</v>
      </c>
      <c r="G12" s="1">
        <f t="shared" si="1"/>
        <v>162370</v>
      </c>
      <c r="H12" s="1">
        <f t="shared" si="2"/>
        <v>166847</v>
      </c>
    </row>
    <row r="13" spans="1:8" x14ac:dyDescent="0.2">
      <c r="A13" s="16"/>
      <c r="B13" s="4" t="s">
        <v>74</v>
      </c>
      <c r="C13" s="5">
        <v>1410721</v>
      </c>
      <c r="D13" s="5">
        <v>1196064</v>
      </c>
      <c r="E13" s="5">
        <v>981156</v>
      </c>
      <c r="F13" s="1">
        <f t="shared" si="0"/>
        <v>429565</v>
      </c>
      <c r="G13" s="1">
        <f t="shared" si="1"/>
        <v>214908</v>
      </c>
      <c r="H13" s="1">
        <f t="shared" si="2"/>
        <v>214657</v>
      </c>
    </row>
    <row r="14" spans="1:8" x14ac:dyDescent="0.2">
      <c r="A14" s="16"/>
      <c r="B14" s="4" t="s">
        <v>79</v>
      </c>
      <c r="C14" s="5">
        <v>1237531</v>
      </c>
      <c r="D14" s="5">
        <v>1023649</v>
      </c>
      <c r="E14" s="5">
        <v>820222</v>
      </c>
      <c r="F14" s="1">
        <f t="shared" si="0"/>
        <v>417309</v>
      </c>
      <c r="G14" s="1">
        <f t="shared" si="1"/>
        <v>203427</v>
      </c>
      <c r="H14" s="1">
        <f t="shared" si="2"/>
        <v>213882</v>
      </c>
    </row>
    <row r="15" spans="1:8" x14ac:dyDescent="0.2">
      <c r="A15" s="16"/>
      <c r="B15" s="4" t="s">
        <v>37</v>
      </c>
      <c r="C15" s="5">
        <v>823496</v>
      </c>
      <c r="D15" s="5">
        <v>769506</v>
      </c>
      <c r="E15" s="5">
        <v>751297</v>
      </c>
      <c r="F15" s="1">
        <f t="shared" si="0"/>
        <v>72199</v>
      </c>
      <c r="G15" s="1">
        <f t="shared" si="1"/>
        <v>18209</v>
      </c>
      <c r="H15" s="1">
        <f t="shared" si="2"/>
        <v>53990</v>
      </c>
    </row>
    <row r="16" spans="1:8" x14ac:dyDescent="0.2">
      <c r="A16" s="16"/>
      <c r="B16" s="4" t="s">
        <v>43</v>
      </c>
      <c r="C16" s="5">
        <v>1764595</v>
      </c>
      <c r="D16" s="5">
        <v>1498596</v>
      </c>
      <c r="E16" s="5">
        <v>1161225</v>
      </c>
      <c r="F16" s="1">
        <f t="shared" si="0"/>
        <v>603370</v>
      </c>
      <c r="G16" s="1">
        <f t="shared" si="1"/>
        <v>337371</v>
      </c>
      <c r="H16" s="1">
        <f t="shared" si="2"/>
        <v>265999</v>
      </c>
    </row>
    <row r="17" spans="1:8" x14ac:dyDescent="0.2">
      <c r="A17" s="16"/>
      <c r="B17" s="4" t="s">
        <v>19</v>
      </c>
      <c r="C17" s="5">
        <v>1471574</v>
      </c>
      <c r="D17" s="5">
        <v>1306843</v>
      </c>
      <c r="E17" s="5">
        <v>879356</v>
      </c>
      <c r="F17" s="1">
        <f t="shared" si="0"/>
        <v>592218</v>
      </c>
      <c r="G17" s="1">
        <f t="shared" si="1"/>
        <v>427487</v>
      </c>
      <c r="H17" s="1">
        <f t="shared" si="2"/>
        <v>164731</v>
      </c>
    </row>
    <row r="18" spans="1:8" x14ac:dyDescent="0.2">
      <c r="A18" s="16"/>
      <c r="B18" s="4" t="s">
        <v>1</v>
      </c>
      <c r="C18" s="5">
        <v>1490188</v>
      </c>
      <c r="D18" s="5">
        <v>1289874</v>
      </c>
      <c r="E18" s="5">
        <v>922028</v>
      </c>
      <c r="F18" s="1">
        <f t="shared" si="0"/>
        <v>568160</v>
      </c>
      <c r="G18" s="1">
        <f t="shared" si="1"/>
        <v>367846</v>
      </c>
      <c r="H18" s="1">
        <f t="shared" si="2"/>
        <v>200314</v>
      </c>
    </row>
    <row r="19" spans="1:8" x14ac:dyDescent="0.2">
      <c r="A19" s="16"/>
      <c r="B19" s="4" t="s">
        <v>53</v>
      </c>
      <c r="C19" s="5">
        <v>1245038</v>
      </c>
      <c r="D19" s="5">
        <v>1037322</v>
      </c>
      <c r="E19" s="5">
        <v>797952</v>
      </c>
      <c r="F19" s="1">
        <f t="shared" si="0"/>
        <v>447086</v>
      </c>
      <c r="G19" s="1">
        <f t="shared" si="1"/>
        <v>239370</v>
      </c>
      <c r="H19" s="1">
        <f t="shared" si="2"/>
        <v>207716</v>
      </c>
    </row>
    <row r="20" spans="1:8" x14ac:dyDescent="0.2">
      <c r="A20" s="16"/>
      <c r="B20" s="4" t="s">
        <v>26</v>
      </c>
      <c r="C20" s="5">
        <v>1472771</v>
      </c>
      <c r="D20" s="5">
        <v>1292870</v>
      </c>
      <c r="E20" s="5">
        <v>1150677</v>
      </c>
      <c r="F20" s="1">
        <f t="shared" si="0"/>
        <v>322094</v>
      </c>
      <c r="G20" s="1">
        <f t="shared" si="1"/>
        <v>142193</v>
      </c>
      <c r="H20" s="1">
        <f t="shared" si="2"/>
        <v>179901</v>
      </c>
    </row>
    <row r="21" spans="1:8" x14ac:dyDescent="0.2">
      <c r="A21" s="16"/>
      <c r="B21" s="4" t="s">
        <v>49</v>
      </c>
      <c r="C21" s="5">
        <v>1014221</v>
      </c>
      <c r="D21" s="5">
        <v>887276</v>
      </c>
      <c r="E21" s="5">
        <v>704253</v>
      </c>
      <c r="F21" s="1">
        <f t="shared" si="0"/>
        <v>309968</v>
      </c>
      <c r="G21" s="1">
        <f t="shared" si="1"/>
        <v>183023</v>
      </c>
      <c r="H21" s="1">
        <f t="shared" si="2"/>
        <v>126945</v>
      </c>
    </row>
    <row r="22" spans="1:8" x14ac:dyDescent="0.2">
      <c r="A22" s="16"/>
      <c r="B22" s="4" t="s">
        <v>31</v>
      </c>
      <c r="C22" s="5">
        <v>1358581</v>
      </c>
      <c r="D22" s="5">
        <v>1188865</v>
      </c>
      <c r="E22" s="5">
        <v>825146</v>
      </c>
      <c r="F22" s="1">
        <f t="shared" si="0"/>
        <v>533435</v>
      </c>
      <c r="G22" s="1">
        <f t="shared" si="1"/>
        <v>363719</v>
      </c>
      <c r="H22" s="1">
        <f t="shared" si="2"/>
        <v>169716</v>
      </c>
    </row>
    <row r="23" spans="1:8" x14ac:dyDescent="0.2">
      <c r="A23" s="16"/>
      <c r="B23" s="4" t="s">
        <v>66</v>
      </c>
      <c r="C23" s="5">
        <v>1105679</v>
      </c>
      <c r="D23" s="5">
        <v>1018786</v>
      </c>
      <c r="E23" s="5">
        <v>799876</v>
      </c>
      <c r="F23" s="1">
        <f t="shared" si="0"/>
        <v>305803</v>
      </c>
      <c r="G23" s="1">
        <f t="shared" si="1"/>
        <v>218910</v>
      </c>
      <c r="H23" s="1">
        <f t="shared" si="2"/>
        <v>86893</v>
      </c>
    </row>
    <row r="24" spans="1:8" x14ac:dyDescent="0.2">
      <c r="A24" s="16"/>
      <c r="B24" s="4" t="s">
        <v>30</v>
      </c>
      <c r="C24" s="5">
        <v>1644326</v>
      </c>
      <c r="D24" s="5">
        <v>1408113</v>
      </c>
      <c r="E24" s="5">
        <v>1146463</v>
      </c>
      <c r="F24" s="1">
        <f t="shared" si="0"/>
        <v>497863</v>
      </c>
      <c r="G24" s="1">
        <f t="shared" si="1"/>
        <v>261650</v>
      </c>
      <c r="H24" s="1">
        <f t="shared" si="2"/>
        <v>236213</v>
      </c>
    </row>
    <row r="25" spans="1:8" x14ac:dyDescent="0.2">
      <c r="A25" s="16"/>
      <c r="B25" s="4" t="s">
        <v>45</v>
      </c>
      <c r="C25" s="5">
        <v>1809629</v>
      </c>
      <c r="D25" s="5">
        <v>1653818</v>
      </c>
      <c r="E25" s="5">
        <v>1296289</v>
      </c>
      <c r="F25" s="1">
        <f t="shared" si="0"/>
        <v>513340</v>
      </c>
      <c r="G25" s="1">
        <f t="shared" si="1"/>
        <v>357529</v>
      </c>
      <c r="H25" s="1">
        <f t="shared" si="2"/>
        <v>155811</v>
      </c>
    </row>
    <row r="26" spans="1:8" x14ac:dyDescent="0.2">
      <c r="A26" s="16"/>
      <c r="B26" s="4" t="s">
        <v>14</v>
      </c>
      <c r="C26" s="5">
        <v>1435201</v>
      </c>
      <c r="D26" s="5">
        <v>1298844</v>
      </c>
      <c r="E26" s="5">
        <v>966380</v>
      </c>
      <c r="F26" s="1">
        <f t="shared" si="0"/>
        <v>468821</v>
      </c>
      <c r="G26" s="1">
        <f t="shared" si="1"/>
        <v>332464</v>
      </c>
      <c r="H26" s="1">
        <f t="shared" si="2"/>
        <v>136357</v>
      </c>
    </row>
    <row r="27" spans="1:8" x14ac:dyDescent="0.2">
      <c r="A27" s="16"/>
      <c r="B27" s="4" t="s">
        <v>103</v>
      </c>
      <c r="C27" s="5"/>
      <c r="D27" s="5"/>
      <c r="E27" s="5">
        <v>514316</v>
      </c>
      <c r="F27" s="1">
        <v>514316</v>
      </c>
      <c r="G27" s="1">
        <v>514316</v>
      </c>
      <c r="H27" s="1">
        <v>514316</v>
      </c>
    </row>
    <row r="28" spans="1:8" x14ac:dyDescent="0.2">
      <c r="A28" s="13" t="s">
        <v>10</v>
      </c>
      <c r="B28" s="10" t="s">
        <v>27</v>
      </c>
      <c r="C28" s="11">
        <v>1714081</v>
      </c>
      <c r="D28" s="11">
        <v>1584435</v>
      </c>
      <c r="E28" s="11">
        <v>1144459</v>
      </c>
      <c r="F28" s="1">
        <f t="shared" si="0"/>
        <v>569622</v>
      </c>
      <c r="G28" s="1">
        <f t="shared" si="1"/>
        <v>439976</v>
      </c>
      <c r="H28" s="1">
        <f t="shared" si="2"/>
        <v>129646</v>
      </c>
    </row>
    <row r="29" spans="1:8" x14ac:dyDescent="0.2">
      <c r="A29" s="14"/>
      <c r="B29" s="10" t="s">
        <v>50</v>
      </c>
      <c r="C29" s="11">
        <v>1511184</v>
      </c>
      <c r="D29" s="11">
        <v>1316612</v>
      </c>
      <c r="E29" s="11">
        <v>1070793</v>
      </c>
      <c r="F29" s="1">
        <f t="shared" si="0"/>
        <v>440391</v>
      </c>
      <c r="G29" s="1">
        <f t="shared" si="1"/>
        <v>245819</v>
      </c>
      <c r="H29" s="1">
        <f t="shared" si="2"/>
        <v>194572</v>
      </c>
    </row>
    <row r="30" spans="1:8" x14ac:dyDescent="0.2">
      <c r="A30" s="14"/>
      <c r="B30" s="10" t="s">
        <v>94</v>
      </c>
      <c r="C30" s="11">
        <v>684378</v>
      </c>
      <c r="D30" s="11">
        <v>620171</v>
      </c>
      <c r="E30" s="11">
        <v>558548</v>
      </c>
      <c r="F30" s="1">
        <f t="shared" si="0"/>
        <v>125830</v>
      </c>
      <c r="G30" s="1">
        <f t="shared" si="1"/>
        <v>61623</v>
      </c>
      <c r="H30" s="1">
        <f t="shared" si="2"/>
        <v>64207</v>
      </c>
    </row>
    <row r="31" spans="1:8" x14ac:dyDescent="0.2">
      <c r="A31" s="14"/>
      <c r="B31" s="10" t="s">
        <v>54</v>
      </c>
      <c r="C31" s="11">
        <v>1385819</v>
      </c>
      <c r="D31" s="11">
        <v>1222716</v>
      </c>
      <c r="E31" s="11">
        <v>1034271</v>
      </c>
      <c r="F31" s="1">
        <f t="shared" si="0"/>
        <v>351548</v>
      </c>
      <c r="G31" s="1">
        <f t="shared" si="1"/>
        <v>188445</v>
      </c>
      <c r="H31" s="1">
        <f t="shared" si="2"/>
        <v>163103</v>
      </c>
    </row>
    <row r="32" spans="1:8" x14ac:dyDescent="0.2">
      <c r="A32" s="14"/>
      <c r="B32" s="10" t="s">
        <v>34</v>
      </c>
      <c r="C32" s="11">
        <v>1668204</v>
      </c>
      <c r="D32" s="11">
        <v>1447421</v>
      </c>
      <c r="E32" s="11">
        <v>1242021</v>
      </c>
      <c r="F32" s="1">
        <f t="shared" si="0"/>
        <v>426183</v>
      </c>
      <c r="G32" s="1">
        <f t="shared" si="1"/>
        <v>205400</v>
      </c>
      <c r="H32" s="1">
        <f t="shared" si="2"/>
        <v>220783</v>
      </c>
    </row>
    <row r="33" spans="1:8" x14ac:dyDescent="0.2">
      <c r="A33" s="14"/>
      <c r="B33" s="10" t="s">
        <v>31</v>
      </c>
      <c r="C33" s="11">
        <v>1876250</v>
      </c>
      <c r="D33" s="11">
        <v>1618895</v>
      </c>
      <c r="E33" s="11">
        <v>1236773</v>
      </c>
      <c r="F33" s="1">
        <f t="shared" si="0"/>
        <v>639477</v>
      </c>
      <c r="G33" s="1">
        <f t="shared" si="1"/>
        <v>382122</v>
      </c>
      <c r="H33" s="1">
        <f t="shared" si="2"/>
        <v>257355</v>
      </c>
    </row>
    <row r="34" spans="1:8" x14ac:dyDescent="0.2">
      <c r="A34" s="14"/>
      <c r="B34" s="10" t="s">
        <v>11</v>
      </c>
      <c r="C34" s="11">
        <v>2013384</v>
      </c>
      <c r="D34" s="11">
        <v>1852612</v>
      </c>
      <c r="E34" s="11">
        <v>1577047</v>
      </c>
      <c r="F34" s="1">
        <f t="shared" si="0"/>
        <v>436337</v>
      </c>
      <c r="G34" s="1">
        <f t="shared" si="1"/>
        <v>275565</v>
      </c>
      <c r="H34" s="1">
        <f t="shared" si="2"/>
        <v>160772</v>
      </c>
    </row>
    <row r="35" spans="1:8" x14ac:dyDescent="0.2">
      <c r="A35" s="15" t="s">
        <v>29</v>
      </c>
      <c r="B35" s="4" t="s">
        <v>1</v>
      </c>
      <c r="C35" s="5">
        <v>1786566</v>
      </c>
      <c r="D35" s="5">
        <v>1602583</v>
      </c>
      <c r="E35" s="5">
        <v>1248381</v>
      </c>
      <c r="F35" s="1">
        <f t="shared" si="0"/>
        <v>538185</v>
      </c>
      <c r="G35" s="1">
        <f t="shared" si="1"/>
        <v>354202</v>
      </c>
      <c r="H35" s="1">
        <f t="shared" si="2"/>
        <v>183983</v>
      </c>
    </row>
    <row r="36" spans="1:8" x14ac:dyDescent="0.2">
      <c r="A36" s="16"/>
      <c r="B36" s="4" t="s">
        <v>60</v>
      </c>
      <c r="C36" s="5"/>
      <c r="D36" s="5"/>
      <c r="E36" s="5">
        <v>1076207</v>
      </c>
      <c r="F36" s="1">
        <v>1076207</v>
      </c>
      <c r="G36" s="1">
        <v>1076207</v>
      </c>
      <c r="H36" s="1">
        <v>1076207</v>
      </c>
    </row>
    <row r="37" spans="1:8" x14ac:dyDescent="0.2">
      <c r="A37" s="16"/>
      <c r="B37" s="4" t="s">
        <v>31</v>
      </c>
      <c r="C37" s="5">
        <v>1800473</v>
      </c>
      <c r="D37" s="5">
        <v>1552424</v>
      </c>
      <c r="E37" s="5">
        <v>1115584</v>
      </c>
      <c r="F37" s="1">
        <f t="shared" si="0"/>
        <v>684889</v>
      </c>
      <c r="G37" s="1">
        <f t="shared" si="1"/>
        <v>436840</v>
      </c>
      <c r="H37" s="1">
        <f t="shared" si="2"/>
        <v>248049</v>
      </c>
    </row>
    <row r="38" spans="1:8" x14ac:dyDescent="0.2">
      <c r="A38" s="16"/>
      <c r="B38" s="4" t="s">
        <v>30</v>
      </c>
      <c r="C38" s="5">
        <v>1847816</v>
      </c>
      <c r="D38" s="5">
        <v>1701886</v>
      </c>
      <c r="E38" s="5">
        <v>1415455</v>
      </c>
      <c r="F38" s="1">
        <f t="shared" si="0"/>
        <v>432361</v>
      </c>
      <c r="G38" s="1">
        <f t="shared" si="1"/>
        <v>286431</v>
      </c>
      <c r="H38" s="1">
        <f t="shared" si="2"/>
        <v>145930</v>
      </c>
    </row>
    <row r="39" spans="1:8" x14ac:dyDescent="0.2">
      <c r="A39" s="16"/>
      <c r="B39" s="4" t="s">
        <v>14</v>
      </c>
      <c r="C39" s="5">
        <v>1518214</v>
      </c>
      <c r="D39" s="5">
        <v>1376516</v>
      </c>
      <c r="E39" s="5">
        <v>1102539</v>
      </c>
      <c r="F39" s="1">
        <f t="shared" si="0"/>
        <v>415675</v>
      </c>
      <c r="G39" s="1">
        <f t="shared" si="1"/>
        <v>273977</v>
      </c>
      <c r="H39" s="1">
        <f t="shared" si="2"/>
        <v>141698</v>
      </c>
    </row>
    <row r="40" spans="1:8" x14ac:dyDescent="0.2">
      <c r="A40" s="13" t="s">
        <v>7</v>
      </c>
      <c r="B40" s="10" t="s">
        <v>25</v>
      </c>
      <c r="C40" s="11">
        <v>698094</v>
      </c>
      <c r="D40" s="11">
        <v>592303</v>
      </c>
      <c r="E40" s="11">
        <v>491252</v>
      </c>
      <c r="F40" s="1">
        <f t="shared" si="0"/>
        <v>206842</v>
      </c>
      <c r="G40" s="1">
        <f t="shared" si="1"/>
        <v>101051</v>
      </c>
      <c r="H40" s="1">
        <f t="shared" si="2"/>
        <v>105791</v>
      </c>
    </row>
    <row r="41" spans="1:8" x14ac:dyDescent="0.2">
      <c r="A41" s="14"/>
      <c r="B41" s="10" t="s">
        <v>42</v>
      </c>
      <c r="C41" s="11">
        <v>75626</v>
      </c>
      <c r="D41" s="11">
        <v>73754</v>
      </c>
      <c r="E41" s="11">
        <v>60548</v>
      </c>
      <c r="F41" s="1">
        <f t="shared" si="0"/>
        <v>15078</v>
      </c>
      <c r="G41" s="1">
        <f t="shared" si="1"/>
        <v>13206</v>
      </c>
      <c r="H41" s="1">
        <f t="shared" si="2"/>
        <v>1872</v>
      </c>
    </row>
    <row r="42" spans="1:8" x14ac:dyDescent="0.2">
      <c r="A42" s="14"/>
      <c r="B42" s="10" t="s">
        <v>95</v>
      </c>
      <c r="C42" s="11">
        <v>855635</v>
      </c>
      <c r="D42" s="11">
        <v>760867</v>
      </c>
      <c r="E42" s="11">
        <v>636613</v>
      </c>
      <c r="F42" s="1">
        <f t="shared" si="0"/>
        <v>219022</v>
      </c>
      <c r="G42" s="1">
        <f t="shared" si="1"/>
        <v>124254</v>
      </c>
      <c r="H42" s="1">
        <f t="shared" si="2"/>
        <v>94768</v>
      </c>
    </row>
    <row r="43" spans="1:8" x14ac:dyDescent="0.2">
      <c r="A43" s="14"/>
      <c r="B43" s="10" t="s">
        <v>8</v>
      </c>
      <c r="C43" s="11">
        <v>709375</v>
      </c>
      <c r="D43" s="11">
        <v>621595</v>
      </c>
      <c r="E43" s="11">
        <v>510845</v>
      </c>
      <c r="F43" s="1">
        <f t="shared" si="0"/>
        <v>198530</v>
      </c>
      <c r="G43" s="1">
        <f t="shared" si="1"/>
        <v>110750</v>
      </c>
      <c r="H43" s="1">
        <f t="shared" si="2"/>
        <v>87780</v>
      </c>
    </row>
    <row r="44" spans="1:8" x14ac:dyDescent="0.2">
      <c r="A44" s="15" t="s">
        <v>15</v>
      </c>
      <c r="B44" s="4" t="s">
        <v>19</v>
      </c>
      <c r="C44" s="5">
        <v>1855605</v>
      </c>
      <c r="D44" s="5">
        <v>1663322</v>
      </c>
      <c r="E44" s="5">
        <v>1311175</v>
      </c>
      <c r="F44" s="1">
        <f t="shared" si="0"/>
        <v>544430</v>
      </c>
      <c r="G44" s="1">
        <f t="shared" si="1"/>
        <v>352147</v>
      </c>
      <c r="H44" s="1">
        <f t="shared" si="2"/>
        <v>192283</v>
      </c>
    </row>
    <row r="45" spans="1:8" x14ac:dyDescent="0.2">
      <c r="A45" s="16"/>
      <c r="B45" s="4" t="s">
        <v>32</v>
      </c>
      <c r="C45" s="5">
        <v>1459548</v>
      </c>
      <c r="D45" s="5">
        <v>1327153</v>
      </c>
      <c r="E45" s="5">
        <v>1003167</v>
      </c>
      <c r="F45" s="1">
        <f t="shared" si="0"/>
        <v>456381</v>
      </c>
      <c r="G45" s="1">
        <f t="shared" si="1"/>
        <v>323986</v>
      </c>
      <c r="H45" s="1">
        <f t="shared" si="2"/>
        <v>132395</v>
      </c>
    </row>
    <row r="46" spans="1:8" x14ac:dyDescent="0.2">
      <c r="A46" s="16"/>
      <c r="B46" s="4" t="s">
        <v>16</v>
      </c>
      <c r="C46" s="5">
        <v>2030035</v>
      </c>
      <c r="D46" s="5">
        <v>1836788</v>
      </c>
      <c r="E46" s="5">
        <v>1668196</v>
      </c>
      <c r="F46" s="1">
        <f t="shared" si="0"/>
        <v>361839</v>
      </c>
      <c r="G46" s="1">
        <f t="shared" si="1"/>
        <v>168592</v>
      </c>
      <c r="H46" s="1">
        <f t="shared" si="2"/>
        <v>193247</v>
      </c>
    </row>
    <row r="47" spans="1:8" x14ac:dyDescent="0.2">
      <c r="A47" s="16"/>
      <c r="B47" s="4" t="s">
        <v>35</v>
      </c>
      <c r="C47" s="5">
        <v>946674</v>
      </c>
      <c r="D47" s="5">
        <v>850415</v>
      </c>
      <c r="E47" s="5">
        <v>715782</v>
      </c>
      <c r="F47" s="1">
        <f t="shared" si="0"/>
        <v>230892</v>
      </c>
      <c r="G47" s="1">
        <f t="shared" si="1"/>
        <v>134633</v>
      </c>
      <c r="H47" s="1">
        <f t="shared" si="2"/>
        <v>96259</v>
      </c>
    </row>
    <row r="48" spans="1:8" x14ac:dyDescent="0.2">
      <c r="A48" s="16"/>
      <c r="B48" s="4" t="s">
        <v>99</v>
      </c>
      <c r="C48" s="5"/>
      <c r="D48" s="5"/>
      <c r="E48" s="5">
        <v>1753054</v>
      </c>
      <c r="F48" s="1">
        <v>1753054</v>
      </c>
      <c r="G48" s="1">
        <v>1753054</v>
      </c>
      <c r="H48" s="1">
        <v>1753054</v>
      </c>
    </row>
    <row r="49" spans="1:8" x14ac:dyDescent="0.2">
      <c r="A49" s="13" t="s">
        <v>3</v>
      </c>
      <c r="B49" s="10" t="s">
        <v>70</v>
      </c>
      <c r="C49" s="11">
        <v>737729</v>
      </c>
      <c r="D49" s="11">
        <v>735789</v>
      </c>
      <c r="E49" s="11">
        <v>697772</v>
      </c>
      <c r="F49" s="1">
        <f t="shared" si="0"/>
        <v>39957</v>
      </c>
      <c r="G49" s="1">
        <f t="shared" si="1"/>
        <v>38017</v>
      </c>
      <c r="H49" s="1">
        <f t="shared" si="2"/>
        <v>1940</v>
      </c>
    </row>
    <row r="50" spans="1:8" x14ac:dyDescent="0.2">
      <c r="A50" s="14"/>
      <c r="B50" s="10" t="s">
        <v>50</v>
      </c>
      <c r="C50" s="11">
        <v>1365802</v>
      </c>
      <c r="D50" s="11">
        <v>1159741</v>
      </c>
      <c r="E50" s="11">
        <v>875446</v>
      </c>
      <c r="F50" s="1">
        <f t="shared" si="0"/>
        <v>490356</v>
      </c>
      <c r="G50" s="1">
        <f t="shared" si="1"/>
        <v>284295</v>
      </c>
      <c r="H50" s="1">
        <f t="shared" si="2"/>
        <v>206061</v>
      </c>
    </row>
    <row r="51" spans="1:8" x14ac:dyDescent="0.2">
      <c r="A51" s="14"/>
      <c r="B51" s="10" t="s">
        <v>19</v>
      </c>
      <c r="C51" s="11">
        <v>1590385</v>
      </c>
      <c r="D51" s="11">
        <v>1361118</v>
      </c>
      <c r="E51" s="11">
        <v>1032004</v>
      </c>
      <c r="F51" s="1">
        <f t="shared" si="0"/>
        <v>558381</v>
      </c>
      <c r="G51" s="1">
        <f t="shared" si="1"/>
        <v>329114</v>
      </c>
      <c r="H51" s="1">
        <f t="shared" si="2"/>
        <v>229267</v>
      </c>
    </row>
    <row r="52" spans="1:8" x14ac:dyDescent="0.2">
      <c r="A52" s="14"/>
      <c r="B52" s="10" t="s">
        <v>49</v>
      </c>
      <c r="C52" s="11">
        <v>1219811</v>
      </c>
      <c r="D52" s="11">
        <v>1098624</v>
      </c>
      <c r="E52" s="11">
        <v>895571</v>
      </c>
      <c r="F52" s="1">
        <f t="shared" si="0"/>
        <v>324240</v>
      </c>
      <c r="G52" s="1">
        <f t="shared" si="1"/>
        <v>203053</v>
      </c>
      <c r="H52" s="1">
        <f t="shared" si="2"/>
        <v>121187</v>
      </c>
    </row>
    <row r="53" spans="1:8" x14ac:dyDescent="0.2">
      <c r="A53" s="14"/>
      <c r="B53" s="10" t="s">
        <v>73</v>
      </c>
      <c r="C53" s="11">
        <v>1006899</v>
      </c>
      <c r="D53" s="11">
        <v>938764</v>
      </c>
      <c r="E53" s="11">
        <v>755967</v>
      </c>
      <c r="F53" s="1">
        <f t="shared" si="0"/>
        <v>250932</v>
      </c>
      <c r="G53" s="1">
        <f t="shared" si="1"/>
        <v>182797</v>
      </c>
      <c r="H53" s="1">
        <f t="shared" si="2"/>
        <v>68135</v>
      </c>
    </row>
    <row r="54" spans="1:8" x14ac:dyDescent="0.2">
      <c r="A54" s="14"/>
      <c r="B54" s="10" t="s">
        <v>4</v>
      </c>
      <c r="C54" s="11">
        <v>1943285</v>
      </c>
      <c r="D54" s="11">
        <v>1770275</v>
      </c>
      <c r="E54" s="11">
        <v>1655070</v>
      </c>
      <c r="F54" s="1">
        <f t="shared" ref="F54:F104" si="3">C54-E54</f>
        <v>288215</v>
      </c>
      <c r="G54" s="1">
        <f t="shared" ref="G54:G104" si="4">D54-E54</f>
        <v>115205</v>
      </c>
      <c r="H54" s="1">
        <f t="shared" si="2"/>
        <v>173010</v>
      </c>
    </row>
    <row r="55" spans="1:8" x14ac:dyDescent="0.2">
      <c r="A55" s="6" t="s">
        <v>107</v>
      </c>
      <c r="B55" s="4" t="s">
        <v>108</v>
      </c>
      <c r="C55" s="5">
        <v>332117</v>
      </c>
      <c r="D55" s="5">
        <v>252605</v>
      </c>
      <c r="E55" s="5">
        <v>209014</v>
      </c>
      <c r="F55" s="1">
        <f t="shared" si="3"/>
        <v>123103</v>
      </c>
      <c r="G55" s="1">
        <f t="shared" si="4"/>
        <v>43591</v>
      </c>
      <c r="H55" s="1">
        <f t="shared" si="2"/>
        <v>79512</v>
      </c>
    </row>
    <row r="56" spans="1:8" x14ac:dyDescent="0.2">
      <c r="A56" s="13" t="s">
        <v>20</v>
      </c>
      <c r="B56" s="10" t="s">
        <v>112</v>
      </c>
      <c r="C56" s="11">
        <v>363261</v>
      </c>
      <c r="D56" s="11">
        <v>377330</v>
      </c>
      <c r="E56" s="11">
        <v>361770</v>
      </c>
      <c r="F56" s="1">
        <f t="shared" si="3"/>
        <v>1491</v>
      </c>
      <c r="G56" s="1">
        <f t="shared" si="4"/>
        <v>15560</v>
      </c>
      <c r="H56" s="1">
        <f t="shared" si="2"/>
        <v>-14069</v>
      </c>
    </row>
    <row r="57" spans="1:8" x14ac:dyDescent="0.2">
      <c r="A57" s="14"/>
      <c r="B57" s="10" t="s">
        <v>72</v>
      </c>
      <c r="C57" s="11">
        <v>265470</v>
      </c>
      <c r="D57" s="11">
        <v>256738</v>
      </c>
      <c r="E57" s="11">
        <v>252178</v>
      </c>
      <c r="F57" s="1">
        <f t="shared" si="3"/>
        <v>13292</v>
      </c>
      <c r="G57" s="1">
        <f t="shared" si="4"/>
        <v>4560</v>
      </c>
      <c r="H57" s="1">
        <f t="shared" si="2"/>
        <v>8732</v>
      </c>
    </row>
    <row r="58" spans="1:8" x14ac:dyDescent="0.2">
      <c r="A58" s="14"/>
      <c r="B58" s="10" t="s">
        <v>76</v>
      </c>
      <c r="C58" s="11">
        <v>393927</v>
      </c>
      <c r="D58" s="11">
        <v>442853</v>
      </c>
      <c r="E58" s="11">
        <v>405268</v>
      </c>
      <c r="F58" s="1">
        <f t="shared" si="3"/>
        <v>-11341</v>
      </c>
      <c r="G58" s="1">
        <f t="shared" si="4"/>
        <v>37585</v>
      </c>
      <c r="H58" s="1">
        <f t="shared" si="2"/>
        <v>-48926</v>
      </c>
    </row>
    <row r="59" spans="1:8" x14ac:dyDescent="0.2">
      <c r="A59" s="14"/>
      <c r="B59" s="10" t="s">
        <v>21</v>
      </c>
      <c r="C59" s="11">
        <v>314156</v>
      </c>
      <c r="D59" s="11">
        <v>327309</v>
      </c>
      <c r="E59" s="11">
        <v>295695</v>
      </c>
      <c r="F59" s="1">
        <f t="shared" si="3"/>
        <v>18461</v>
      </c>
      <c r="G59" s="1">
        <f t="shared" si="4"/>
        <v>31614</v>
      </c>
      <c r="H59" s="1">
        <f t="shared" si="2"/>
        <v>-13153</v>
      </c>
    </row>
    <row r="60" spans="1:8" x14ac:dyDescent="0.2">
      <c r="A60" s="14"/>
      <c r="B60" s="10" t="s">
        <v>111</v>
      </c>
      <c r="C60" s="11">
        <v>286265</v>
      </c>
      <c r="D60" s="11">
        <v>306191</v>
      </c>
      <c r="E60" s="11">
        <v>299513</v>
      </c>
      <c r="F60" s="1">
        <f t="shared" si="3"/>
        <v>-13248</v>
      </c>
      <c r="G60" s="1">
        <f t="shared" si="4"/>
        <v>6678</v>
      </c>
      <c r="H60" s="1">
        <f t="shared" si="2"/>
        <v>-19926</v>
      </c>
    </row>
    <row r="61" spans="1:8" x14ac:dyDescent="0.2">
      <c r="A61" s="14"/>
      <c r="B61" s="10" t="s">
        <v>38</v>
      </c>
      <c r="C61" s="11">
        <v>240698</v>
      </c>
      <c r="D61" s="11">
        <v>247604</v>
      </c>
      <c r="E61" s="11">
        <v>234131</v>
      </c>
      <c r="F61" s="1">
        <f t="shared" si="3"/>
        <v>6567</v>
      </c>
      <c r="G61" s="1">
        <f t="shared" si="4"/>
        <v>13473</v>
      </c>
      <c r="H61" s="1">
        <f t="shared" si="2"/>
        <v>-6906</v>
      </c>
    </row>
    <row r="62" spans="1:8" x14ac:dyDescent="0.2">
      <c r="A62" s="14"/>
      <c r="B62" s="10" t="s">
        <v>84</v>
      </c>
      <c r="C62" s="11">
        <v>96267</v>
      </c>
      <c r="D62" s="11">
        <v>93977</v>
      </c>
      <c r="E62" s="11">
        <v>88330</v>
      </c>
      <c r="F62" s="1">
        <f t="shared" si="3"/>
        <v>7937</v>
      </c>
      <c r="G62" s="1">
        <f t="shared" si="4"/>
        <v>5647</v>
      </c>
      <c r="H62" s="1">
        <f t="shared" si="2"/>
        <v>2290</v>
      </c>
    </row>
    <row r="63" spans="1:8" x14ac:dyDescent="0.2">
      <c r="A63" s="14"/>
      <c r="B63" s="10" t="s">
        <v>92</v>
      </c>
      <c r="C63" s="11">
        <v>632311</v>
      </c>
      <c r="D63" s="11">
        <v>555874</v>
      </c>
      <c r="E63" s="11">
        <v>542234</v>
      </c>
      <c r="F63" s="1">
        <f t="shared" si="3"/>
        <v>90077</v>
      </c>
      <c r="G63" s="1">
        <f t="shared" si="4"/>
        <v>13640</v>
      </c>
      <c r="H63" s="1">
        <f t="shared" si="2"/>
        <v>76437</v>
      </c>
    </row>
    <row r="64" spans="1:8" x14ac:dyDescent="0.2">
      <c r="A64" s="14"/>
      <c r="B64" s="10" t="s">
        <v>36</v>
      </c>
      <c r="C64" s="11">
        <v>398180</v>
      </c>
      <c r="D64" s="11">
        <v>237219</v>
      </c>
      <c r="E64" s="11">
        <v>215582</v>
      </c>
      <c r="F64" s="1">
        <f t="shared" si="3"/>
        <v>182598</v>
      </c>
      <c r="G64" s="1">
        <f t="shared" si="4"/>
        <v>21637</v>
      </c>
      <c r="H64" s="1">
        <f t="shared" si="2"/>
        <v>160961</v>
      </c>
    </row>
    <row r="65" spans="1:8" x14ac:dyDescent="0.2">
      <c r="A65" s="14"/>
      <c r="B65" s="10" t="s">
        <v>48</v>
      </c>
      <c r="C65" s="11">
        <v>221198</v>
      </c>
      <c r="D65" s="11">
        <v>157756</v>
      </c>
      <c r="E65" s="11">
        <v>188444</v>
      </c>
      <c r="F65" s="1">
        <f t="shared" si="3"/>
        <v>32754</v>
      </c>
      <c r="G65" s="1">
        <f t="shared" si="4"/>
        <v>-30688</v>
      </c>
      <c r="H65" s="1">
        <f t="shared" si="2"/>
        <v>63442</v>
      </c>
    </row>
    <row r="66" spans="1:8" x14ac:dyDescent="0.2">
      <c r="A66" s="15" t="s">
        <v>33</v>
      </c>
      <c r="B66" s="4" t="s">
        <v>63</v>
      </c>
      <c r="C66" s="5">
        <v>1842158</v>
      </c>
      <c r="D66" s="5">
        <v>1583641</v>
      </c>
      <c r="E66" s="5">
        <v>1193206</v>
      </c>
      <c r="F66" s="1">
        <f t="shared" si="3"/>
        <v>648952</v>
      </c>
      <c r="G66" s="1">
        <f t="shared" si="4"/>
        <v>390435</v>
      </c>
      <c r="H66" s="1">
        <f t="shared" si="2"/>
        <v>258517</v>
      </c>
    </row>
    <row r="67" spans="1:8" x14ac:dyDescent="0.2">
      <c r="A67" s="16"/>
      <c r="B67" s="4" t="s">
        <v>1</v>
      </c>
      <c r="C67" s="5">
        <v>1903471</v>
      </c>
      <c r="D67" s="5">
        <v>1754330</v>
      </c>
      <c r="E67" s="5">
        <v>1467704</v>
      </c>
      <c r="F67" s="1">
        <f t="shared" si="3"/>
        <v>435767</v>
      </c>
      <c r="G67" s="1">
        <f t="shared" si="4"/>
        <v>286626</v>
      </c>
      <c r="H67" s="1">
        <f t="shared" ref="H67:H120" si="5">C67-D67</f>
        <v>149141</v>
      </c>
    </row>
    <row r="68" spans="1:8" x14ac:dyDescent="0.2">
      <c r="A68" s="16"/>
      <c r="B68" s="4" t="s">
        <v>31</v>
      </c>
      <c r="C68" s="5">
        <v>1899360</v>
      </c>
      <c r="D68" s="5">
        <v>1702066</v>
      </c>
      <c r="E68" s="5">
        <v>1360502</v>
      </c>
      <c r="F68" s="1">
        <f t="shared" si="3"/>
        <v>538858</v>
      </c>
      <c r="G68" s="1">
        <f t="shared" si="4"/>
        <v>341564</v>
      </c>
      <c r="H68" s="1">
        <f t="shared" si="5"/>
        <v>197294</v>
      </c>
    </row>
    <row r="69" spans="1:8" x14ac:dyDescent="0.2">
      <c r="A69" s="12" t="s">
        <v>113</v>
      </c>
      <c r="B69" s="10" t="s">
        <v>114</v>
      </c>
      <c r="C69" s="11">
        <v>26062</v>
      </c>
      <c r="D69" s="11">
        <v>36096</v>
      </c>
      <c r="E69" s="11">
        <v>18185</v>
      </c>
      <c r="F69" s="1">
        <f t="shared" si="3"/>
        <v>7877</v>
      </c>
      <c r="G69" s="1">
        <f t="shared" si="4"/>
        <v>17911</v>
      </c>
      <c r="H69" s="1">
        <f t="shared" si="5"/>
        <v>-10034</v>
      </c>
    </row>
    <row r="70" spans="1:8" x14ac:dyDescent="0.2">
      <c r="A70" s="15" t="s">
        <v>58</v>
      </c>
      <c r="B70" s="4" t="s">
        <v>87</v>
      </c>
      <c r="C70" s="5">
        <v>753773</v>
      </c>
      <c r="D70" s="5">
        <v>634669</v>
      </c>
      <c r="E70" s="5">
        <v>414601</v>
      </c>
      <c r="F70" s="1">
        <f t="shared" si="3"/>
        <v>339172</v>
      </c>
      <c r="G70" s="1">
        <f t="shared" si="4"/>
        <v>220068</v>
      </c>
      <c r="H70" s="1">
        <f t="shared" si="5"/>
        <v>119104</v>
      </c>
    </row>
    <row r="71" spans="1:8" x14ac:dyDescent="0.2">
      <c r="A71" s="16"/>
      <c r="B71" s="4" t="s">
        <v>59</v>
      </c>
      <c r="C71" s="5">
        <v>665300</v>
      </c>
      <c r="D71" s="5">
        <v>533844</v>
      </c>
      <c r="E71" s="5">
        <v>351771</v>
      </c>
      <c r="F71" s="1">
        <f t="shared" si="3"/>
        <v>313529</v>
      </c>
      <c r="G71" s="1">
        <f t="shared" si="4"/>
        <v>182073</v>
      </c>
      <c r="H71" s="1">
        <f t="shared" si="5"/>
        <v>131456</v>
      </c>
    </row>
    <row r="72" spans="1:8" x14ac:dyDescent="0.2">
      <c r="A72" s="16"/>
      <c r="B72" s="4" t="s">
        <v>71</v>
      </c>
      <c r="C72" s="5">
        <v>693757</v>
      </c>
      <c r="D72" s="5">
        <v>587329</v>
      </c>
      <c r="E72" s="5">
        <v>375896</v>
      </c>
      <c r="F72" s="1">
        <f t="shared" si="3"/>
        <v>317861</v>
      </c>
      <c r="G72" s="1">
        <f t="shared" si="4"/>
        <v>211433</v>
      </c>
      <c r="H72" s="1">
        <f t="shared" si="5"/>
        <v>106428</v>
      </c>
    </row>
    <row r="73" spans="1:8" x14ac:dyDescent="0.2">
      <c r="A73" s="16"/>
      <c r="B73" s="4" t="s">
        <v>77</v>
      </c>
      <c r="C73" s="5">
        <v>532133</v>
      </c>
      <c r="D73" s="5">
        <v>495083</v>
      </c>
      <c r="E73" s="5">
        <v>369171</v>
      </c>
      <c r="F73" s="1">
        <f t="shared" si="3"/>
        <v>162962</v>
      </c>
      <c r="G73" s="1">
        <f t="shared" si="4"/>
        <v>125912</v>
      </c>
      <c r="H73" s="1">
        <f t="shared" si="5"/>
        <v>37050</v>
      </c>
    </row>
    <row r="74" spans="1:8" x14ac:dyDescent="0.2">
      <c r="A74" s="16"/>
      <c r="B74" s="4" t="s">
        <v>88</v>
      </c>
      <c r="C74" s="5">
        <v>409863</v>
      </c>
      <c r="D74" s="5">
        <v>354266</v>
      </c>
      <c r="E74" s="5">
        <v>272908</v>
      </c>
      <c r="F74" s="1">
        <f t="shared" si="3"/>
        <v>136955</v>
      </c>
      <c r="G74" s="1">
        <f t="shared" si="4"/>
        <v>81358</v>
      </c>
      <c r="H74" s="1">
        <f t="shared" si="5"/>
        <v>55597</v>
      </c>
    </row>
    <row r="75" spans="1:8" x14ac:dyDescent="0.2">
      <c r="A75" s="13" t="s">
        <v>5</v>
      </c>
      <c r="B75" s="10" t="s">
        <v>6</v>
      </c>
      <c r="C75" s="11"/>
      <c r="D75" s="11">
        <v>338483</v>
      </c>
      <c r="E75" s="11">
        <v>399008</v>
      </c>
      <c r="F75" s="1">
        <f t="shared" si="3"/>
        <v>-399008</v>
      </c>
      <c r="G75" s="1">
        <f t="shared" si="4"/>
        <v>-60525</v>
      </c>
      <c r="H75" s="1">
        <f t="shared" si="5"/>
        <v>-338483</v>
      </c>
    </row>
    <row r="76" spans="1:8" x14ac:dyDescent="0.2">
      <c r="A76" s="14"/>
      <c r="B76" s="10" t="s">
        <v>69</v>
      </c>
      <c r="C76" s="11"/>
      <c r="D76" s="11">
        <v>318055</v>
      </c>
      <c r="E76" s="11">
        <v>394872</v>
      </c>
      <c r="F76" s="1">
        <f t="shared" si="3"/>
        <v>-394872</v>
      </c>
      <c r="G76" s="1">
        <f t="shared" si="4"/>
        <v>-76817</v>
      </c>
      <c r="H76" s="1">
        <f t="shared" si="5"/>
        <v>-318055</v>
      </c>
    </row>
    <row r="77" spans="1:8" x14ac:dyDescent="0.2">
      <c r="A77" s="15" t="s">
        <v>67</v>
      </c>
      <c r="B77" s="4" t="s">
        <v>98</v>
      </c>
      <c r="C77" s="5"/>
      <c r="D77" s="5"/>
      <c r="E77" s="5">
        <v>578347</v>
      </c>
      <c r="F77" s="1">
        <v>578347</v>
      </c>
      <c r="G77" s="1">
        <v>578347</v>
      </c>
      <c r="H77" s="1">
        <v>578347</v>
      </c>
    </row>
    <row r="78" spans="1:8" x14ac:dyDescent="0.2">
      <c r="A78" s="16"/>
      <c r="B78" s="4" t="s">
        <v>83</v>
      </c>
      <c r="C78" s="5">
        <v>500380</v>
      </c>
      <c r="D78" s="5">
        <v>476599</v>
      </c>
      <c r="E78" s="5">
        <v>382640</v>
      </c>
      <c r="F78" s="1">
        <f t="shared" si="3"/>
        <v>117740</v>
      </c>
      <c r="G78" s="1">
        <f t="shared" si="4"/>
        <v>93959</v>
      </c>
      <c r="H78" s="1">
        <f t="shared" si="5"/>
        <v>23781</v>
      </c>
    </row>
    <row r="79" spans="1:8" x14ac:dyDescent="0.2">
      <c r="A79" s="16"/>
      <c r="B79" s="4" t="s">
        <v>68</v>
      </c>
      <c r="C79" s="5">
        <v>653892</v>
      </c>
      <c r="D79" s="5">
        <v>590954</v>
      </c>
      <c r="E79" s="5">
        <v>504395</v>
      </c>
      <c r="F79" s="1">
        <f t="shared" si="3"/>
        <v>149497</v>
      </c>
      <c r="G79" s="1">
        <f t="shared" si="4"/>
        <v>86559</v>
      </c>
      <c r="H79" s="1">
        <f t="shared" si="5"/>
        <v>62938</v>
      </c>
    </row>
    <row r="80" spans="1:8" x14ac:dyDescent="0.2">
      <c r="A80" s="13" t="s">
        <v>12</v>
      </c>
      <c r="B80" s="10" t="s">
        <v>27</v>
      </c>
      <c r="C80" s="11">
        <v>1708043</v>
      </c>
      <c r="D80" s="11">
        <v>1581432</v>
      </c>
      <c r="E80" s="11">
        <v>1212491</v>
      </c>
      <c r="F80" s="1">
        <f t="shared" si="3"/>
        <v>495552</v>
      </c>
      <c r="G80" s="1">
        <f t="shared" si="4"/>
        <v>368941</v>
      </c>
      <c r="H80" s="1">
        <f t="shared" si="5"/>
        <v>126611</v>
      </c>
    </row>
    <row r="81" spans="1:8" x14ac:dyDescent="0.2">
      <c r="A81" s="14"/>
      <c r="B81" s="10" t="s">
        <v>13</v>
      </c>
      <c r="C81" s="11">
        <v>934454</v>
      </c>
      <c r="D81" s="11">
        <v>865457</v>
      </c>
      <c r="E81" s="11">
        <v>799314</v>
      </c>
      <c r="F81" s="1">
        <f t="shared" si="3"/>
        <v>135140</v>
      </c>
      <c r="G81" s="1">
        <f t="shared" si="4"/>
        <v>66143</v>
      </c>
      <c r="H81" s="1">
        <f t="shared" si="5"/>
        <v>68997</v>
      </c>
    </row>
    <row r="82" spans="1:8" x14ac:dyDescent="0.2">
      <c r="A82" s="14"/>
      <c r="B82" s="10" t="s">
        <v>65</v>
      </c>
      <c r="C82" s="11">
        <v>1537749</v>
      </c>
      <c r="D82" s="11">
        <v>1442728</v>
      </c>
      <c r="E82" s="11">
        <v>1329580</v>
      </c>
      <c r="F82" s="1">
        <f t="shared" si="3"/>
        <v>208169</v>
      </c>
      <c r="G82" s="1">
        <f t="shared" si="4"/>
        <v>113148</v>
      </c>
      <c r="H82" s="1">
        <f t="shared" si="5"/>
        <v>95021</v>
      </c>
    </row>
    <row r="83" spans="1:8" x14ac:dyDescent="0.2">
      <c r="A83" s="3" t="s">
        <v>89</v>
      </c>
      <c r="B83" s="4" t="s">
        <v>90</v>
      </c>
      <c r="C83" s="5">
        <v>227071</v>
      </c>
      <c r="D83" s="5">
        <v>228935</v>
      </c>
      <c r="E83" s="5">
        <v>204623</v>
      </c>
      <c r="F83" s="1">
        <f t="shared" si="3"/>
        <v>22448</v>
      </c>
      <c r="G83" s="1">
        <f t="shared" si="4"/>
        <v>24312</v>
      </c>
      <c r="H83" s="1">
        <f t="shared" si="5"/>
        <v>-1864</v>
      </c>
    </row>
    <row r="84" spans="1:8" x14ac:dyDescent="0.2">
      <c r="A84" s="13" t="s">
        <v>100</v>
      </c>
      <c r="B84" s="10" t="s">
        <v>116</v>
      </c>
      <c r="C84" s="11">
        <v>68683</v>
      </c>
      <c r="D84" s="11">
        <v>87995</v>
      </c>
      <c r="E84" s="11">
        <v>98842</v>
      </c>
      <c r="F84" s="1">
        <f t="shared" si="3"/>
        <v>-30159</v>
      </c>
      <c r="G84" s="1">
        <f t="shared" si="4"/>
        <v>-10847</v>
      </c>
      <c r="H84" s="1">
        <f t="shared" si="5"/>
        <v>-19312</v>
      </c>
    </row>
    <row r="85" spans="1:8" x14ac:dyDescent="0.2">
      <c r="A85" s="14"/>
      <c r="B85" s="10" t="s">
        <v>124</v>
      </c>
      <c r="C85" s="11">
        <v>272586</v>
      </c>
      <c r="D85" s="11">
        <v>286015</v>
      </c>
      <c r="E85" s="11">
        <v>283337</v>
      </c>
      <c r="F85" s="1">
        <f t="shared" si="3"/>
        <v>-10751</v>
      </c>
      <c r="G85" s="1">
        <f t="shared" si="4"/>
        <v>2678</v>
      </c>
      <c r="H85" s="1">
        <f t="shared" si="5"/>
        <v>-13429</v>
      </c>
    </row>
    <row r="86" spans="1:8" x14ac:dyDescent="0.2">
      <c r="A86" s="14"/>
      <c r="B86" s="10" t="s">
        <v>118</v>
      </c>
      <c r="C86" s="11">
        <v>126919</v>
      </c>
      <c r="D86" s="11">
        <v>137792</v>
      </c>
      <c r="E86" s="11">
        <v>117249</v>
      </c>
      <c r="F86" s="1">
        <f t="shared" si="3"/>
        <v>9670</v>
      </c>
      <c r="G86" s="1">
        <f t="shared" si="4"/>
        <v>20543</v>
      </c>
      <c r="H86" s="1">
        <f t="shared" si="5"/>
        <v>-10873</v>
      </c>
    </row>
    <row r="87" spans="1:8" x14ac:dyDescent="0.2">
      <c r="A87" s="14"/>
      <c r="B87" s="10" t="s">
        <v>121</v>
      </c>
      <c r="C87" s="11">
        <v>111170</v>
      </c>
      <c r="D87" s="11">
        <v>125084</v>
      </c>
      <c r="E87" s="11">
        <v>113292</v>
      </c>
      <c r="F87" s="1">
        <f t="shared" si="3"/>
        <v>-2122</v>
      </c>
      <c r="G87" s="1">
        <f t="shared" si="4"/>
        <v>11792</v>
      </c>
      <c r="H87" s="1">
        <f t="shared" si="5"/>
        <v>-13914</v>
      </c>
    </row>
    <row r="88" spans="1:8" x14ac:dyDescent="0.2">
      <c r="A88" s="14"/>
      <c r="B88" s="10" t="s">
        <v>120</v>
      </c>
      <c r="C88" s="11">
        <v>297704</v>
      </c>
      <c r="D88" s="11">
        <v>290947</v>
      </c>
      <c r="E88" s="11">
        <v>245836</v>
      </c>
      <c r="F88" s="1">
        <f t="shared" si="3"/>
        <v>51868</v>
      </c>
      <c r="G88" s="1">
        <f t="shared" si="4"/>
        <v>45111</v>
      </c>
      <c r="H88" s="1">
        <f t="shared" si="5"/>
        <v>6757</v>
      </c>
    </row>
    <row r="89" spans="1:8" x14ac:dyDescent="0.2">
      <c r="A89" s="14"/>
      <c r="B89" s="10" t="s">
        <v>110</v>
      </c>
      <c r="C89" s="11">
        <v>292351</v>
      </c>
      <c r="D89" s="11">
        <v>265932</v>
      </c>
      <c r="E89" s="11">
        <v>225224</v>
      </c>
      <c r="F89" s="1">
        <f t="shared" si="3"/>
        <v>67127</v>
      </c>
      <c r="G89" s="1">
        <f t="shared" si="4"/>
        <v>40708</v>
      </c>
      <c r="H89" s="1">
        <f t="shared" si="5"/>
        <v>26419</v>
      </c>
    </row>
    <row r="90" spans="1:8" x14ac:dyDescent="0.2">
      <c r="A90" s="14"/>
      <c r="B90" s="10" t="s">
        <v>101</v>
      </c>
      <c r="C90" s="11">
        <v>190087</v>
      </c>
      <c r="D90" s="11">
        <v>188384</v>
      </c>
      <c r="E90" s="11">
        <v>153949</v>
      </c>
      <c r="F90" s="1">
        <f t="shared" si="3"/>
        <v>36138</v>
      </c>
      <c r="G90" s="1">
        <f t="shared" si="4"/>
        <v>34435</v>
      </c>
      <c r="H90" s="1">
        <f t="shared" si="5"/>
        <v>1703</v>
      </c>
    </row>
    <row r="91" spans="1:8" x14ac:dyDescent="0.2">
      <c r="A91" s="15" t="s">
        <v>81</v>
      </c>
      <c r="B91" s="4" t="s">
        <v>105</v>
      </c>
      <c r="C91" s="5">
        <v>297628</v>
      </c>
      <c r="D91" s="5">
        <v>262922</v>
      </c>
      <c r="E91" s="5">
        <v>299919</v>
      </c>
      <c r="F91" s="1">
        <f t="shared" si="3"/>
        <v>-2291</v>
      </c>
      <c r="G91" s="1">
        <f t="shared" si="4"/>
        <v>-36997</v>
      </c>
      <c r="H91" s="1">
        <f t="shared" si="5"/>
        <v>34706</v>
      </c>
    </row>
    <row r="92" spans="1:8" x14ac:dyDescent="0.2">
      <c r="A92" s="16"/>
      <c r="B92" s="4" t="s">
        <v>96</v>
      </c>
      <c r="C92" s="5">
        <v>269924</v>
      </c>
      <c r="D92" s="5">
        <v>296819</v>
      </c>
      <c r="E92" s="5">
        <v>288247</v>
      </c>
      <c r="F92" s="1">
        <f t="shared" si="3"/>
        <v>-18323</v>
      </c>
      <c r="G92" s="1">
        <f t="shared" si="4"/>
        <v>8572</v>
      </c>
      <c r="H92" s="1">
        <f t="shared" si="5"/>
        <v>-26895</v>
      </c>
    </row>
    <row r="93" spans="1:8" x14ac:dyDescent="0.2">
      <c r="A93" s="16"/>
      <c r="B93" s="4" t="s">
        <v>104</v>
      </c>
      <c r="C93" s="5">
        <v>99344</v>
      </c>
      <c r="D93" s="5">
        <v>298024</v>
      </c>
      <c r="E93" s="5">
        <v>265186</v>
      </c>
      <c r="F93" s="1">
        <f t="shared" si="3"/>
        <v>-165842</v>
      </c>
      <c r="G93" s="1">
        <f t="shared" si="4"/>
        <v>32838</v>
      </c>
      <c r="H93" s="1">
        <f t="shared" si="5"/>
        <v>-198680</v>
      </c>
    </row>
    <row r="94" spans="1:8" x14ac:dyDescent="0.2">
      <c r="A94" s="16"/>
      <c r="B94" s="4" t="s">
        <v>102</v>
      </c>
      <c r="C94" s="5">
        <v>19100</v>
      </c>
      <c r="D94" s="5">
        <v>14011</v>
      </c>
      <c r="E94" s="5">
        <v>13081</v>
      </c>
      <c r="F94" s="1">
        <f t="shared" si="3"/>
        <v>6019</v>
      </c>
      <c r="G94" s="1">
        <f t="shared" si="4"/>
        <v>930</v>
      </c>
      <c r="H94" s="1">
        <f t="shared" si="5"/>
        <v>5089</v>
      </c>
    </row>
    <row r="95" spans="1:8" x14ac:dyDescent="0.2">
      <c r="A95" s="16"/>
      <c r="B95" s="4" t="s">
        <v>115</v>
      </c>
      <c r="C95" s="5">
        <v>284746</v>
      </c>
      <c r="D95" s="5">
        <v>299242</v>
      </c>
      <c r="E95" s="5">
        <v>298783</v>
      </c>
      <c r="F95" s="1">
        <f t="shared" si="3"/>
        <v>-14037</v>
      </c>
      <c r="G95" s="1">
        <f t="shared" si="4"/>
        <v>459</v>
      </c>
      <c r="H95" s="1">
        <f t="shared" si="5"/>
        <v>-14496</v>
      </c>
    </row>
    <row r="96" spans="1:8" x14ac:dyDescent="0.2">
      <c r="A96" s="16"/>
      <c r="B96" s="4" t="s">
        <v>119</v>
      </c>
      <c r="C96" s="5">
        <v>88585</v>
      </c>
      <c r="D96" s="5">
        <v>200003</v>
      </c>
      <c r="E96" s="5">
        <v>186772</v>
      </c>
      <c r="F96" s="1">
        <f t="shared" si="3"/>
        <v>-98187</v>
      </c>
      <c r="G96" s="1">
        <f t="shared" si="4"/>
        <v>13231</v>
      </c>
      <c r="H96" s="1">
        <f t="shared" si="5"/>
        <v>-111418</v>
      </c>
    </row>
    <row r="97" spans="1:8" x14ac:dyDescent="0.2">
      <c r="A97" s="16"/>
      <c r="B97" s="4" t="s">
        <v>91</v>
      </c>
      <c r="C97" s="5">
        <v>20733</v>
      </c>
      <c r="D97" s="5">
        <v>17591</v>
      </c>
      <c r="E97" s="5">
        <v>17512</v>
      </c>
      <c r="F97" s="1">
        <f t="shared" si="3"/>
        <v>3221</v>
      </c>
      <c r="G97" s="1">
        <f t="shared" si="4"/>
        <v>79</v>
      </c>
      <c r="H97" s="1">
        <f t="shared" si="5"/>
        <v>3142</v>
      </c>
    </row>
    <row r="98" spans="1:8" x14ac:dyDescent="0.2">
      <c r="A98" s="16"/>
      <c r="B98" s="4" t="s">
        <v>117</v>
      </c>
      <c r="C98" s="5">
        <v>125285</v>
      </c>
      <c r="D98" s="5">
        <v>120096</v>
      </c>
      <c r="E98" s="5">
        <v>121079</v>
      </c>
      <c r="F98" s="1">
        <f t="shared" si="3"/>
        <v>4206</v>
      </c>
      <c r="G98" s="1">
        <f t="shared" si="4"/>
        <v>-983</v>
      </c>
      <c r="H98" s="1">
        <f t="shared" si="5"/>
        <v>5189</v>
      </c>
    </row>
    <row r="99" spans="1:8" x14ac:dyDescent="0.2">
      <c r="A99" s="16"/>
      <c r="B99" s="4" t="s">
        <v>93</v>
      </c>
      <c r="C99" s="5">
        <v>93015</v>
      </c>
      <c r="D99" s="5">
        <v>97852</v>
      </c>
      <c r="E99" s="5">
        <v>86055</v>
      </c>
      <c r="F99" s="1">
        <f t="shared" si="3"/>
        <v>6960</v>
      </c>
      <c r="G99" s="1">
        <f t="shared" si="4"/>
        <v>11797</v>
      </c>
      <c r="H99" s="1">
        <f t="shared" si="5"/>
        <v>-4837</v>
      </c>
    </row>
    <row r="100" spans="1:8" x14ac:dyDescent="0.2">
      <c r="A100" s="16"/>
      <c r="B100" s="4" t="s">
        <v>82</v>
      </c>
      <c r="C100" s="5">
        <v>78982</v>
      </c>
      <c r="D100" s="5">
        <v>85534</v>
      </c>
      <c r="E100" s="5">
        <v>121257</v>
      </c>
      <c r="F100" s="1">
        <f t="shared" si="3"/>
        <v>-42275</v>
      </c>
      <c r="G100" s="1">
        <f t="shared" si="4"/>
        <v>-35723</v>
      </c>
      <c r="H100" s="1">
        <f t="shared" si="5"/>
        <v>-6552</v>
      </c>
    </row>
    <row r="101" spans="1:8" x14ac:dyDescent="0.2">
      <c r="A101" s="16"/>
      <c r="B101" s="4" t="s">
        <v>97</v>
      </c>
      <c r="C101" s="5">
        <v>39610</v>
      </c>
      <c r="D101" s="5">
        <v>44653</v>
      </c>
      <c r="E101" s="5">
        <v>66611</v>
      </c>
      <c r="F101" s="1">
        <f t="shared" si="3"/>
        <v>-27001</v>
      </c>
      <c r="G101" s="1">
        <f t="shared" si="4"/>
        <v>-21958</v>
      </c>
      <c r="H101" s="1">
        <f t="shared" si="5"/>
        <v>-5043</v>
      </c>
    </row>
    <row r="102" spans="1:8" x14ac:dyDescent="0.2">
      <c r="A102" s="16"/>
      <c r="B102" s="4" t="s">
        <v>85</v>
      </c>
      <c r="C102" s="5">
        <v>31022</v>
      </c>
      <c r="D102" s="5">
        <v>32250</v>
      </c>
      <c r="E102" s="5">
        <v>47806</v>
      </c>
      <c r="F102" s="1">
        <f t="shared" si="3"/>
        <v>-16784</v>
      </c>
      <c r="G102" s="1">
        <f t="shared" si="4"/>
        <v>-15556</v>
      </c>
      <c r="H102" s="1">
        <f t="shared" si="5"/>
        <v>-1228</v>
      </c>
    </row>
    <row r="103" spans="1:8" x14ac:dyDescent="0.2">
      <c r="A103" s="13" t="s">
        <v>61</v>
      </c>
      <c r="B103" s="10" t="s">
        <v>86</v>
      </c>
      <c r="C103" s="11">
        <v>225841</v>
      </c>
      <c r="D103" s="11">
        <v>222675</v>
      </c>
      <c r="E103" s="11">
        <v>192511</v>
      </c>
      <c r="F103" s="1">
        <f t="shared" si="3"/>
        <v>33330</v>
      </c>
      <c r="G103" s="1">
        <f t="shared" si="4"/>
        <v>30164</v>
      </c>
      <c r="H103" s="1">
        <f t="shared" si="5"/>
        <v>3166</v>
      </c>
    </row>
    <row r="104" spans="1:8" x14ac:dyDescent="0.2">
      <c r="A104" s="14"/>
      <c r="B104" s="10" t="s">
        <v>109</v>
      </c>
      <c r="C104" s="11">
        <v>279353</v>
      </c>
      <c r="D104" s="11">
        <v>287206</v>
      </c>
      <c r="E104" s="11">
        <v>244221</v>
      </c>
      <c r="F104" s="1">
        <f t="shared" si="3"/>
        <v>35132</v>
      </c>
      <c r="G104" s="1">
        <f t="shared" si="4"/>
        <v>42985</v>
      </c>
      <c r="H104" s="1">
        <f t="shared" si="5"/>
        <v>-7853</v>
      </c>
    </row>
    <row r="105" spans="1:8" x14ac:dyDescent="0.2">
      <c r="A105" s="14"/>
      <c r="B105" s="10" t="s">
        <v>106</v>
      </c>
      <c r="C105" s="11"/>
      <c r="D105" s="11"/>
      <c r="E105" s="11">
        <v>374217</v>
      </c>
      <c r="F105" s="1">
        <v>374217</v>
      </c>
      <c r="G105" s="1">
        <v>374217</v>
      </c>
      <c r="H105" s="1">
        <v>374217</v>
      </c>
    </row>
    <row r="106" spans="1:8" x14ac:dyDescent="0.2">
      <c r="A106" s="14"/>
      <c r="B106" s="10" t="s">
        <v>62</v>
      </c>
      <c r="C106" s="11">
        <v>168258</v>
      </c>
      <c r="D106" s="11">
        <v>162417</v>
      </c>
      <c r="E106" s="11">
        <v>137185</v>
      </c>
      <c r="F106" s="1">
        <f t="shared" ref="F106:F120" si="6">C106-E106</f>
        <v>31073</v>
      </c>
      <c r="G106" s="1">
        <f t="shared" ref="G106:G120" si="7">D106-E106</f>
        <v>25232</v>
      </c>
      <c r="H106" s="1">
        <f t="shared" si="5"/>
        <v>5841</v>
      </c>
    </row>
    <row r="107" spans="1:8" x14ac:dyDescent="0.2">
      <c r="A107" s="15" t="s">
        <v>46</v>
      </c>
      <c r="B107" s="4" t="s">
        <v>47</v>
      </c>
      <c r="C107" s="5">
        <v>1847988</v>
      </c>
      <c r="D107" s="5">
        <v>1796236</v>
      </c>
      <c r="E107" s="5">
        <v>1602196</v>
      </c>
      <c r="F107" s="1">
        <f t="shared" si="6"/>
        <v>245792</v>
      </c>
      <c r="G107" s="1">
        <f t="shared" si="7"/>
        <v>194040</v>
      </c>
      <c r="H107" s="1">
        <f t="shared" si="5"/>
        <v>51752</v>
      </c>
    </row>
    <row r="108" spans="1:8" x14ac:dyDescent="0.2">
      <c r="A108" s="16"/>
      <c r="B108" s="4" t="s">
        <v>13</v>
      </c>
      <c r="C108" s="5">
        <v>1072031</v>
      </c>
      <c r="D108" s="5">
        <v>964319</v>
      </c>
      <c r="E108" s="5">
        <v>869628</v>
      </c>
      <c r="F108" s="1">
        <f t="shared" si="6"/>
        <v>202403</v>
      </c>
      <c r="G108" s="1">
        <f t="shared" si="7"/>
        <v>94691</v>
      </c>
      <c r="H108" s="1">
        <f t="shared" si="5"/>
        <v>107712</v>
      </c>
    </row>
    <row r="109" spans="1:8" x14ac:dyDescent="0.2">
      <c r="A109" s="13" t="s">
        <v>17</v>
      </c>
      <c r="B109" s="10" t="s">
        <v>44</v>
      </c>
      <c r="C109" s="11">
        <v>1168490</v>
      </c>
      <c r="D109" s="11">
        <v>957382</v>
      </c>
      <c r="E109" s="11">
        <v>867789</v>
      </c>
      <c r="F109" s="1">
        <f t="shared" si="6"/>
        <v>300701</v>
      </c>
      <c r="G109" s="1">
        <f t="shared" si="7"/>
        <v>89593</v>
      </c>
      <c r="H109" s="1">
        <f t="shared" si="5"/>
        <v>211108</v>
      </c>
    </row>
    <row r="110" spans="1:8" x14ac:dyDescent="0.2">
      <c r="A110" s="14"/>
      <c r="B110" s="10" t="s">
        <v>51</v>
      </c>
      <c r="C110" s="11">
        <v>1820315</v>
      </c>
      <c r="D110" s="11">
        <v>1662625</v>
      </c>
      <c r="E110" s="11">
        <v>1421815</v>
      </c>
      <c r="F110" s="1">
        <f t="shared" si="6"/>
        <v>398500</v>
      </c>
      <c r="G110" s="1">
        <f t="shared" si="7"/>
        <v>240810</v>
      </c>
      <c r="H110" s="1">
        <f t="shared" si="5"/>
        <v>157690</v>
      </c>
    </row>
    <row r="111" spans="1:8" x14ac:dyDescent="0.2">
      <c r="A111" s="14"/>
      <c r="B111" s="10" t="s">
        <v>50</v>
      </c>
      <c r="C111" s="11"/>
      <c r="D111" s="11"/>
      <c r="E111" s="11">
        <v>1250814</v>
      </c>
      <c r="F111" s="1">
        <v>1250814</v>
      </c>
      <c r="G111" s="1">
        <v>1250814</v>
      </c>
      <c r="H111" s="1">
        <v>1250814</v>
      </c>
    </row>
    <row r="112" spans="1:8" x14ac:dyDescent="0.2">
      <c r="A112" s="14"/>
      <c r="B112" s="10" t="s">
        <v>40</v>
      </c>
      <c r="C112" s="11">
        <v>1534286</v>
      </c>
      <c r="D112" s="11">
        <v>1408377</v>
      </c>
      <c r="E112" s="11">
        <v>1108638</v>
      </c>
      <c r="F112" s="1">
        <f t="shared" si="6"/>
        <v>425648</v>
      </c>
      <c r="G112" s="1">
        <f t="shared" si="7"/>
        <v>299739</v>
      </c>
      <c r="H112" s="1">
        <f t="shared" si="5"/>
        <v>125909</v>
      </c>
    </row>
    <row r="113" spans="1:8" x14ac:dyDescent="0.2">
      <c r="A113" s="14"/>
      <c r="B113" s="10" t="s">
        <v>14</v>
      </c>
      <c r="C113" s="11">
        <v>1774298</v>
      </c>
      <c r="D113" s="11">
        <v>1663833</v>
      </c>
      <c r="E113" s="11">
        <v>1382020</v>
      </c>
      <c r="F113" s="1">
        <f t="shared" si="6"/>
        <v>392278</v>
      </c>
      <c r="G113" s="1">
        <f t="shared" si="7"/>
        <v>281813</v>
      </c>
      <c r="H113" s="1">
        <f t="shared" si="5"/>
        <v>110465</v>
      </c>
    </row>
    <row r="114" spans="1:8" x14ac:dyDescent="0.2">
      <c r="A114" s="3" t="s">
        <v>22</v>
      </c>
      <c r="B114" s="4" t="s">
        <v>75</v>
      </c>
      <c r="C114" s="5"/>
      <c r="D114" s="5"/>
      <c r="E114" s="5">
        <v>697915</v>
      </c>
      <c r="F114" s="1">
        <v>697915</v>
      </c>
      <c r="G114" s="1">
        <v>697915</v>
      </c>
      <c r="H114" s="1">
        <v>697915</v>
      </c>
    </row>
    <row r="115" spans="1:8" x14ac:dyDescent="0.2">
      <c r="A115" s="9" t="s">
        <v>122</v>
      </c>
      <c r="B115" s="10" t="s">
        <v>123</v>
      </c>
      <c r="C115" s="11">
        <v>20615</v>
      </c>
      <c r="D115" s="11">
        <v>20419</v>
      </c>
      <c r="E115" s="11">
        <v>18350</v>
      </c>
      <c r="F115" s="1">
        <f t="shared" si="6"/>
        <v>2265</v>
      </c>
      <c r="G115" s="1">
        <f t="shared" si="7"/>
        <v>2069</v>
      </c>
      <c r="H115" s="1">
        <f t="shared" si="5"/>
        <v>196</v>
      </c>
    </row>
    <row r="116" spans="1:8" x14ac:dyDescent="0.2">
      <c r="A116" s="15" t="s">
        <v>41</v>
      </c>
      <c r="B116" s="4" t="s">
        <v>42</v>
      </c>
      <c r="C116" s="5">
        <v>63626</v>
      </c>
      <c r="D116" s="5">
        <v>62339</v>
      </c>
      <c r="E116" s="5">
        <v>44860</v>
      </c>
      <c r="F116" s="1">
        <f t="shared" si="6"/>
        <v>18766</v>
      </c>
      <c r="G116" s="1">
        <f t="shared" si="7"/>
        <v>17479</v>
      </c>
      <c r="H116" s="1">
        <f t="shared" si="5"/>
        <v>1287</v>
      </c>
    </row>
    <row r="117" spans="1:8" x14ac:dyDescent="0.2">
      <c r="A117" s="16"/>
      <c r="B117" s="4" t="s">
        <v>52</v>
      </c>
      <c r="C117" s="5">
        <v>518943</v>
      </c>
      <c r="D117" s="5">
        <v>481575</v>
      </c>
      <c r="E117" s="5">
        <v>404920</v>
      </c>
      <c r="F117" s="1">
        <f t="shared" si="6"/>
        <v>114023</v>
      </c>
      <c r="G117" s="1">
        <f t="shared" si="7"/>
        <v>76655</v>
      </c>
      <c r="H117" s="1">
        <f t="shared" si="5"/>
        <v>37368</v>
      </c>
    </row>
    <row r="118" spans="1:8" x14ac:dyDescent="0.2">
      <c r="A118" s="16"/>
      <c r="B118" s="4" t="s">
        <v>95</v>
      </c>
      <c r="C118" s="5">
        <v>734846</v>
      </c>
      <c r="D118" s="5">
        <v>672030</v>
      </c>
      <c r="E118" s="5">
        <v>546781</v>
      </c>
      <c r="F118" s="1">
        <f t="shared" si="6"/>
        <v>188065</v>
      </c>
      <c r="G118" s="1">
        <f t="shared" si="7"/>
        <v>125249</v>
      </c>
      <c r="H118" s="1">
        <f t="shared" si="5"/>
        <v>62816</v>
      </c>
    </row>
    <row r="119" spans="1:8" x14ac:dyDescent="0.2">
      <c r="A119" s="16"/>
      <c r="B119" s="4" t="s">
        <v>78</v>
      </c>
      <c r="C119" s="5">
        <v>50135</v>
      </c>
      <c r="D119" s="5">
        <v>43629</v>
      </c>
      <c r="E119" s="5">
        <v>37301</v>
      </c>
      <c r="F119" s="1">
        <f t="shared" si="6"/>
        <v>12834</v>
      </c>
      <c r="G119" s="1">
        <f t="shared" si="7"/>
        <v>6328</v>
      </c>
      <c r="H119" s="1">
        <f t="shared" si="5"/>
        <v>6506</v>
      </c>
    </row>
    <row r="120" spans="1:8" x14ac:dyDescent="0.2">
      <c r="A120" s="9" t="s">
        <v>55</v>
      </c>
      <c r="B120" s="10" t="s">
        <v>56</v>
      </c>
      <c r="C120" s="11">
        <v>105894</v>
      </c>
      <c r="D120" s="11">
        <v>117230</v>
      </c>
      <c r="E120" s="11">
        <v>94733</v>
      </c>
      <c r="F120" s="1">
        <f t="shared" si="6"/>
        <v>11161</v>
      </c>
      <c r="G120" s="1">
        <f t="shared" si="7"/>
        <v>22497</v>
      </c>
      <c r="H120" s="1">
        <f t="shared" si="5"/>
        <v>-11336</v>
      </c>
    </row>
  </sheetData>
  <mergeCells count="20">
    <mergeCell ref="A109:A113"/>
    <mergeCell ref="A116:A119"/>
    <mergeCell ref="A77:A79"/>
    <mergeCell ref="A80:A82"/>
    <mergeCell ref="A84:A90"/>
    <mergeCell ref="A91:A102"/>
    <mergeCell ref="A103:A106"/>
    <mergeCell ref="A107:A108"/>
    <mergeCell ref="A75:A76"/>
    <mergeCell ref="A2:A4"/>
    <mergeCell ref="A5:A8"/>
    <mergeCell ref="A9:A27"/>
    <mergeCell ref="A28:A34"/>
    <mergeCell ref="A35:A39"/>
    <mergeCell ref="A40:A43"/>
    <mergeCell ref="A44:A48"/>
    <mergeCell ref="A49:A54"/>
    <mergeCell ref="A56:A65"/>
    <mergeCell ref="A66:A68"/>
    <mergeCell ref="A70:A74"/>
  </mergeCells>
  <phoneticPr fontId="3" type="noConversion"/>
  <conditionalFormatting sqref="F1:F1048576">
    <cfRule type="colorScale" priority="26">
      <colorScale>
        <cfvo type="num" val="0"/>
        <cfvo type="num" val="0"/>
        <color rgb="FFFF7128"/>
        <color rgb="FFFFEF9C"/>
      </colorScale>
    </cfRule>
  </conditionalFormatting>
  <conditionalFormatting sqref="G1:G1048576">
    <cfRule type="colorScale" priority="25">
      <colorScale>
        <cfvo type="num" val="0"/>
        <cfvo type="num" val="0"/>
        <color rgb="FFFF7128"/>
        <color rgb="FFFFEF9C"/>
      </colorScale>
    </cfRule>
  </conditionalFormatting>
  <conditionalFormatting sqref="H1">
    <cfRule type="colorScale" priority="16">
      <colorScale>
        <cfvo type="num" val="0"/>
        <cfvo type="num" val="0"/>
        <color rgb="FFFF7128"/>
        <color rgb="FFFFEF9C"/>
      </colorScale>
    </cfRule>
  </conditionalFormatting>
  <conditionalFormatting sqref="H2:H26 H37:H47 H28:H35 H49:H76 H78:H104 H106:H110 H112:H113 H115:H120">
    <cfRule type="colorScale" priority="20">
      <colorScale>
        <cfvo type="num" val="0"/>
        <cfvo type="num" val="0"/>
        <color rgb="FFFF7128"/>
        <color rgb="FFFFEF9C"/>
      </colorScale>
    </cfRule>
  </conditionalFormatting>
  <conditionalFormatting sqref="H27">
    <cfRule type="colorScale" priority="12">
      <colorScale>
        <cfvo type="num" val="0"/>
        <cfvo type="num" val="0"/>
        <color rgb="FFFF7128"/>
        <color rgb="FFFFEF9C"/>
      </colorScale>
    </cfRule>
  </conditionalFormatting>
  <conditionalFormatting sqref="H36">
    <cfRule type="colorScale" priority="14">
      <colorScale>
        <cfvo type="num" val="0"/>
        <cfvo type="num" val="0"/>
        <color rgb="FFFF7128"/>
        <color rgb="FFFFEF9C"/>
      </colorScale>
    </cfRule>
  </conditionalFormatting>
  <conditionalFormatting sqref="H48">
    <cfRule type="colorScale" priority="10">
      <colorScale>
        <cfvo type="num" val="0"/>
        <cfvo type="num" val="0"/>
        <color rgb="FFFF7128"/>
        <color rgb="FFFFEF9C"/>
      </colorScale>
    </cfRule>
  </conditionalFormatting>
  <conditionalFormatting sqref="H77">
    <cfRule type="colorScale" priority="8">
      <colorScale>
        <cfvo type="num" val="0"/>
        <cfvo type="num" val="0"/>
        <color rgb="FFFF7128"/>
        <color rgb="FFFFEF9C"/>
      </colorScale>
    </cfRule>
  </conditionalFormatting>
  <conditionalFormatting sqref="H105">
    <cfRule type="colorScale" priority="6">
      <colorScale>
        <cfvo type="num" val="0"/>
        <cfvo type="num" val="0"/>
        <color rgb="FFFF7128"/>
        <color rgb="FFFFEF9C"/>
      </colorScale>
    </cfRule>
  </conditionalFormatting>
  <conditionalFormatting sqref="H111">
    <cfRule type="colorScale" priority="4">
      <colorScale>
        <cfvo type="num" val="0"/>
        <cfvo type="num" val="0"/>
        <color rgb="FFFF7128"/>
        <color rgb="FFFFEF9C"/>
      </colorScale>
    </cfRule>
  </conditionalFormatting>
  <conditionalFormatting sqref="H114">
    <cfRule type="colorScale" priority="2">
      <colorScale>
        <cfvo type="num" val="0"/>
        <cfvo type="num" val="0"/>
        <color rgb="FFFF7128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CDF8B98F-F74D-41D9-A708-033D65ECF4C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F1:F1048576</xm:sqref>
        </x14:conditionalFormatting>
        <x14:conditionalFormatting xmlns:xm="http://schemas.microsoft.com/office/excel/2006/main">
          <x14:cfRule type="iconSet" priority="23" id="{AA44740B-3D46-413B-8179-DBF6FD1222B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G1:G1048576</xm:sqref>
        </x14:conditionalFormatting>
        <x14:conditionalFormatting xmlns:xm="http://schemas.microsoft.com/office/excel/2006/main">
          <x14:cfRule type="iconSet" priority="15" id="{D36806D2-4256-4202-883C-6ECF4C60731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H1</xm:sqref>
        </x14:conditionalFormatting>
        <x14:conditionalFormatting xmlns:xm="http://schemas.microsoft.com/office/excel/2006/main">
          <x14:cfRule type="iconSet" priority="19" id="{2704703B-900C-4D24-BE2C-D59E6D0EA2A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H2:H26 H37:H47 H28:H35 H49:H76 H78:H104 H106:H110 H112:H113 H115:H120</xm:sqref>
        </x14:conditionalFormatting>
        <x14:conditionalFormatting xmlns:xm="http://schemas.microsoft.com/office/excel/2006/main">
          <x14:cfRule type="iconSet" priority="11" id="{5A72C10A-5D42-4939-925E-2A83F18E475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H27</xm:sqref>
        </x14:conditionalFormatting>
        <x14:conditionalFormatting xmlns:xm="http://schemas.microsoft.com/office/excel/2006/main">
          <x14:cfRule type="iconSet" priority="13" id="{2FBC2D25-CA90-4282-910D-95C09EAE87D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9" id="{DE7DAE29-C127-4925-AB6C-1667F6A32EB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H48</xm:sqref>
        </x14:conditionalFormatting>
        <x14:conditionalFormatting xmlns:xm="http://schemas.microsoft.com/office/excel/2006/main">
          <x14:cfRule type="iconSet" priority="7" id="{F39455AE-05D8-4052-BCC5-30A778047BB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H77</xm:sqref>
        </x14:conditionalFormatting>
        <x14:conditionalFormatting xmlns:xm="http://schemas.microsoft.com/office/excel/2006/main">
          <x14:cfRule type="iconSet" priority="5" id="{A02FCB22-C1EE-49F4-BB6C-4BC7FF2B342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H105</xm:sqref>
        </x14:conditionalFormatting>
        <x14:conditionalFormatting xmlns:xm="http://schemas.microsoft.com/office/excel/2006/main">
          <x14:cfRule type="iconSet" priority="3" id="{ECD261E5-E3F1-4D86-B368-01AA25AD62D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H111</xm:sqref>
        </x14:conditionalFormatting>
        <x14:conditionalFormatting xmlns:xm="http://schemas.microsoft.com/office/excel/2006/main">
          <x14:cfRule type="iconSet" priority="1" id="{09E77B94-5FA2-44D0-8ADA-52D37EF2458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H114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proram başarı sırasına göre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USER</dc:creator>
  <dc:description/>
  <cp:lastModifiedBy>Ramazan Eser</cp:lastModifiedBy>
  <dcterms:created xsi:type="dcterms:W3CDTF">2026-04-29T07:16:44Z</dcterms:created>
  <dcterms:modified xsi:type="dcterms:W3CDTF">2026-05-05T10:49:44Z</dcterms:modified>
</cp:coreProperties>
</file>